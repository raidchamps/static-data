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id Shadow Legends\Chris Marabate's Website\Fusion Tracker\"/>
    </mc:Choice>
  </mc:AlternateContent>
  <xr:revisionPtr revIDLastSave="0" documentId="13_ncr:1_{B817CDB0-C66E-4DA6-A26A-7FAA7D7314CA}" xr6:coauthVersionLast="45" xr6:coauthVersionMax="45" xr10:uidLastSave="{00000000-0000-0000-0000-000000000000}"/>
  <bookViews>
    <workbookView xWindow="-120" yWindow="-120" windowWidth="20730" windowHeight="11160" tabRatio="580" firstSheet="1" activeTab="3" xr2:uid="{00000000-000D-0000-FFFF-FFFF00000000}"/>
  </bookViews>
  <sheets>
    <sheet name="Hybrid Fusion" sheetId="5" state="veryHidden" r:id="rId1"/>
    <sheet name="Fragment Fusion" sheetId="4" r:id="rId2"/>
    <sheet name="Champion Fusion" sheetId="3" state="veryHidden" r:id="rId3"/>
    <sheet name="Variables" sheetId="2" r:id="rId4"/>
  </sheets>
  <functionGroups builtInGroupCount="19"/>
  <definedNames>
    <definedName name="CF_Energy_perRun">'Champion Fusion'!$AI$22</definedName>
    <definedName name="CF_Epic_Affinity1">'Champion Fusion'!$D$7</definedName>
    <definedName name="CF_Epic_Affinity2">'Champion Fusion'!$I$7</definedName>
    <definedName name="CF_Epic_Affinity3">'Champion Fusion'!$N$7</definedName>
    <definedName name="CF_Epic_Affinity4">'Champion Fusion'!$S$7</definedName>
    <definedName name="CF_Epic_Champion1">'Champion Fusion'!$B$6</definedName>
    <definedName name="CF_Epic_Champion2">'Champion Fusion'!$G$6</definedName>
    <definedName name="CF_Epic_Champion3">'Champion Fusion'!$L$6</definedName>
    <definedName name="CF_Epic_Champion4">'Champion Fusion'!$Q$6</definedName>
    <definedName name="CF_Food">'Champion Fusion'!$E$25</definedName>
    <definedName name="CF_FullEnergy">'Champion Fusion'!$E$29</definedName>
    <definedName name="CF_Legendary_Affinity">'Champion Fusion'!$BH$104</definedName>
    <definedName name="CF_Legendary_Champion">'Champion Fusion'!$AU$103</definedName>
    <definedName name="CF_Legendary_Rarity">'Champion Fusion'!$BH$103</definedName>
    <definedName name="CF_Lvl100BattlePass">'Champion Fusion'!$E$28</definedName>
    <definedName name="CF_Map">'Champion Fusion'!$D$20</definedName>
    <definedName name="CF_RaidPass">'Champion Fusion'!$E$27</definedName>
    <definedName name="CF_Rare_Affinity1">'Champion Fusion'!$C$12</definedName>
    <definedName name="CF_Rare_Affinity10">'Champion Fusion'!$O$12</definedName>
    <definedName name="CF_Rare_Affinity11">'Champion Fusion'!$M$16</definedName>
    <definedName name="CF_Rare_Affinity12">'Champion Fusion'!$O$16</definedName>
    <definedName name="CF_Rare_Affinity13">'Champion Fusion'!$R$12</definedName>
    <definedName name="CF_Rare_Affinity14">'Champion Fusion'!$T$12</definedName>
    <definedName name="CF_Rare_Affinity15">'Champion Fusion'!$R$16</definedName>
    <definedName name="CF_Rare_Affinity16">'Champion Fusion'!$T$16</definedName>
    <definedName name="CF_Rare_Affinity2">'Champion Fusion'!$E$12</definedName>
    <definedName name="CF_Rare_Affinity3">'Champion Fusion'!$C$16</definedName>
    <definedName name="CF_Rare_Affinity4">'Champion Fusion'!$E$16</definedName>
    <definedName name="CF_Rare_Affinity5">'Champion Fusion'!$H$12</definedName>
    <definedName name="CF_Rare_Affinity6">'Champion Fusion'!$J$12</definedName>
    <definedName name="CF_Rare_Affinity7">'Champion Fusion'!$H$16</definedName>
    <definedName name="CF_Rare_Affinity8">'Champion Fusion'!$J$16</definedName>
    <definedName name="CF_Rare_Affinity9">'Champion Fusion'!$M$12</definedName>
    <definedName name="CF_Rare_Champion1">'Champion Fusion'!$B$11</definedName>
    <definedName name="CF_Rare_Champion10">'Champion Fusion'!$N$11</definedName>
    <definedName name="CF_Rare_Champion11">'Champion Fusion'!$L$15</definedName>
    <definedName name="CF_Rare_Champion12">'Champion Fusion'!$N$15</definedName>
    <definedName name="CF_Rare_Champion13">'Champion Fusion'!$Q$11</definedName>
    <definedName name="CF_Rare_Champion14">'Champion Fusion'!$S$11</definedName>
    <definedName name="CF_Rare_Champion15">'Champion Fusion'!$Q$15</definedName>
    <definedName name="CF_Rare_Champion16">'Champion Fusion'!$S$15</definedName>
    <definedName name="CF_Rare_Champion2">'Champion Fusion'!$D$11</definedName>
    <definedName name="CF_Rare_Champion3">'Champion Fusion'!$B$15</definedName>
    <definedName name="CF_Rare_Champion4">'Champion Fusion'!$D$15</definedName>
    <definedName name="CF_Rare_Champion5">'Champion Fusion'!$G$11</definedName>
    <definedName name="CF_Rare_Champion6">'Champion Fusion'!$I$11</definedName>
    <definedName name="CF_Rare_Champion7">'Champion Fusion'!$G$15</definedName>
    <definedName name="CF_Rare_Champion8">'Champion Fusion'!$I$15</definedName>
    <definedName name="CF_Rare_Champion9">'Champion Fusion'!$L$11</definedName>
    <definedName name="CF_Runners">'Champion Fusion'!$E$24</definedName>
    <definedName name="CF_Stage">'Champion Fusion'!$D$21</definedName>
    <definedName name="CF_XP_Epic4">'Champion Fusion'!$AR$22:$AR$25</definedName>
    <definedName name="CF_XP_Epic5">'Champion Fusion'!$AU$22</definedName>
    <definedName name="CF_XP_Legend5">'Champion Fusion'!$AC$3</definedName>
    <definedName name="CF_XP_Legend6">'Champion Fusion'!$AF$3</definedName>
    <definedName name="CF_XP_perFood">'Champion Fusion'!$AI$29</definedName>
    <definedName name="CF_XP_perRun">'Champion Fusion'!$AI$30</definedName>
    <definedName name="CF_XP_Rare3">'Champion Fusion'!$AR$29:$AR$44</definedName>
    <definedName name="CF_XP_Rare4">'Champion Fusion'!$AU$29:$AU$44</definedName>
    <definedName name="CF_XPBoost">'Champion Fusion'!$E$26</definedName>
    <definedName name="Epic_Affinity_Greater">Variables!$H$21:$H$26</definedName>
    <definedName name="Epic_Affinity_Lesser">Variables!$G$21:$G$26</definedName>
    <definedName name="Epic_Affinity_Superior">Variables!$I$21:$I$26</definedName>
    <definedName name="Epic_Arcane_Greater">Variables!$L$21:$L$26</definedName>
    <definedName name="Epic_Arcane_Lesser">Variables!$K$21:$K$26</definedName>
    <definedName name="Epic_Arcane_Superior">Variables!$M$21:$M$26</definedName>
    <definedName name="FF_Affinity">'Fragment Fusion'!$C$4</definedName>
    <definedName name="FF_Champion">'Fragment Fusion'!$B$3</definedName>
    <definedName name="FF_Days">'Fragment Fusion'!$D$8:$D$29</definedName>
    <definedName name="FF_Do1">'Fragment Fusion'!$G$8:$G$29</definedName>
    <definedName name="FF_Do2">'Fragment Fusion'!$L$8:$M$29</definedName>
    <definedName name="FF_Do3">'Fragment Fusion'!$T$8:$U$29</definedName>
    <definedName name="FF_Do4">'Fragment Fusion'!$AB$8:$AC$29</definedName>
    <definedName name="FF_Event">'Fragment Fusion'!$B$8:$B$29</definedName>
    <definedName name="FF_Fragments_Tournament">'Fragment Fusion'!$AD$8:$AD$29</definedName>
    <definedName name="FF_Fragments1">'Fragment Fusion'!$E$8:$E$29</definedName>
    <definedName name="FF_Fragments2">'Fragment Fusion'!$H$8:$H$29</definedName>
    <definedName name="FF_Fragments3">'Fragment Fusion'!$N$8:$N$29</definedName>
    <definedName name="FF_Fragments4">'Fragment Fusion'!$V$8:$V$29</definedName>
    <definedName name="FF_Points1">'Fragment Fusion'!$F$8:$F$29</definedName>
    <definedName name="FF_Points2">'Fragment Fusion'!$I$8:$I$29</definedName>
    <definedName name="FF_Points3">'Fragment Fusion'!$Q$8:$Q$29</definedName>
    <definedName name="FF_Points4">'Fragment Fusion'!$Y$8:$Y$29</definedName>
    <definedName name="FF_Rarity">'Fragment Fusion'!$B$4</definedName>
    <definedName name="FF_Schedule_Event">'Fragment Fusion'!$B$33:$B$54</definedName>
    <definedName name="FF_Start">'Fragment Fusion'!$C$8:$C$29</definedName>
    <definedName name="HF_Champion1">'Hybrid Fusion'!$F$12:$F$33</definedName>
    <definedName name="HF_Champion2">'Hybrid Fusion'!$J$12:$J$33</definedName>
    <definedName name="HF_Champion3">'Hybrid Fusion'!$S$12:$S$33</definedName>
    <definedName name="HF_Champion4">'Hybrid Fusion'!$AD$12:$AD$33</definedName>
    <definedName name="HF_Days">'Hybrid Fusion'!$D$12:$D$33</definedName>
    <definedName name="HF_Do1">'Hybrid Fusion'!$H$12:$H$33</definedName>
    <definedName name="HF_Do2">'Hybrid Fusion'!$N$12:$N$33</definedName>
    <definedName name="HF_Do3">'Hybrid Fusion'!$Y$12:$Y$33</definedName>
    <definedName name="HF_Do4">'Hybrid Fusion'!$AJ$12:$AJ$33</definedName>
    <definedName name="HF_EC_Abbrev1">Variables!$B$29</definedName>
    <definedName name="HF_EC_Abbrev2">Variables!$B$30</definedName>
    <definedName name="HF_EC_Abbrev3">Variables!$B$31</definedName>
    <definedName name="HF_EC_Abbrev4">Variables!$B$32</definedName>
    <definedName name="HF_EC_Affinity1">'Hybrid Fusion'!$D$5</definedName>
    <definedName name="HF_EC_Affinity2">'Hybrid Fusion'!$D$6</definedName>
    <definedName name="HF_EC_Affinity3">'Hybrid Fusion'!$D$7</definedName>
    <definedName name="HF_EC_Affinity4">'Hybrid Fusion'!$D$8</definedName>
    <definedName name="HF_EC_Champion1">'Hybrid Fusion'!$B$5</definedName>
    <definedName name="HF_EC_Champion2">'Hybrid Fusion'!$B$6</definedName>
    <definedName name="HF_EC_Champion3">'Hybrid Fusion'!$B$7</definedName>
    <definedName name="HF_EC_Champion4">'Hybrid Fusion'!$B$8</definedName>
    <definedName name="HF_EC_Rarity1">'Hybrid Fusion'!$C$5</definedName>
    <definedName name="HF_EC_Rarity2">'Hybrid Fusion'!$C$6</definedName>
    <definedName name="HF_EC_Rarity3">'Hybrid Fusion'!$C$7</definedName>
    <definedName name="HF_EC_Rarity4">'Hybrid Fusion'!$C$8</definedName>
    <definedName name="HF_Energy_perRun">'Hybrid Fusion'!$BZ$113</definedName>
    <definedName name="HF_Epic_Affinity1">'Hybrid Fusion'!$AU$106</definedName>
    <definedName name="HF_Epic_Affinity2">'Hybrid Fusion'!$AZ$106</definedName>
    <definedName name="HF_Epic_Affinity3">'Hybrid Fusion'!$BE$106</definedName>
    <definedName name="HF_Epic_Affinity4">'Hybrid Fusion'!$BJ$106</definedName>
    <definedName name="HF_Epic_Champion1">'Hybrid Fusion'!$AS$105</definedName>
    <definedName name="HF_Epic_Champion2">'Hybrid Fusion'!$AX$105</definedName>
    <definedName name="HF_Epic_Champion3">'Hybrid Fusion'!$BC$105</definedName>
    <definedName name="HF_Epic_Champion4">'Hybrid Fusion'!$BH$105</definedName>
    <definedName name="HF_Event">'Hybrid Fusion'!$B$12:$B$33</definedName>
    <definedName name="HF_Food">'Hybrid Fusion'!$AV$115</definedName>
    <definedName name="HF_Fragments_Tournament">'Hybrid Fusion'!$AL$12:$AL$33</definedName>
    <definedName name="HF_Fragments1">'Hybrid Fusion'!$E$12:$E$33</definedName>
    <definedName name="HF_Fragments2">'Hybrid Fusion'!$I$12:$I$33</definedName>
    <definedName name="HF_Fragments3">'Hybrid Fusion'!$P$12:$P$33</definedName>
    <definedName name="HF_Fragments4">'Hybrid Fusion'!$AA$12:$AA$33</definedName>
    <definedName name="HF_FullEnergy">'Hybrid Fusion'!$AV$119</definedName>
    <definedName name="HF_Legendary_Affinity">'Hybrid Fusion'!$BH$103</definedName>
    <definedName name="HF_Legendary_Champion">'Hybrid Fusion'!$AU$102</definedName>
    <definedName name="HF_Legendary_Rarity">'Hybrid Fusion'!$BH$102</definedName>
    <definedName name="HF_Lvl100BattlePass">'Hybrid Fusion'!$AV$118</definedName>
    <definedName name="HF_Map">'Hybrid Fusion'!$AU$110</definedName>
    <definedName name="HF_Points1">'Hybrid Fusion'!$G$12:$G$33</definedName>
    <definedName name="HF_Points2">'Hybrid Fusion'!$K$12:$K$33</definedName>
    <definedName name="HF_Points3">'Hybrid Fusion'!$V$12:$V$33</definedName>
    <definedName name="HF_Points4">'Hybrid Fusion'!$AG$12:$AG$33</definedName>
    <definedName name="HF_RaidPass">'Hybrid Fusion'!$AV$117</definedName>
    <definedName name="HF_Runners">'Hybrid Fusion'!$AV$114</definedName>
    <definedName name="HF_Schedule_All">'Hybrid Fusion'!$B$12:$AO$33</definedName>
    <definedName name="HF_Schedule_Event">'Hybrid Fusion'!$B$37:$C$58</definedName>
    <definedName name="HF_Stage">'Hybrid Fusion'!$AU$111</definedName>
    <definedName name="HF_Start">'Hybrid Fusion'!$C$12:$C$33</definedName>
    <definedName name="HF_Tournament_Champion1">'Hybrid Fusion'!$AM$12:$AM$33</definedName>
    <definedName name="HF_Tournament_Champion2">'Hybrid Fusion'!$AO$12:$AO$33</definedName>
    <definedName name="HF_XP_Epic4">'Hybrid Fusion'!$CI$113:$CI$116</definedName>
    <definedName name="HF_XP_Epic5">'Hybrid Fusion'!$CL$113:$CL$116</definedName>
    <definedName name="HF_XP_Legend5">'Hybrid Fusion'!$BT$102</definedName>
    <definedName name="HF_XP_Legend6">'Hybrid Fusion'!$BW$102</definedName>
    <definedName name="HF_XP_perFood">'Hybrid Fusion'!$BZ$120</definedName>
    <definedName name="HF_XP_perRun">'Hybrid Fusion'!$BZ$121</definedName>
    <definedName name="HF_XPBoost">'Hybrid Fusion'!$AV$116</definedName>
    <definedName name="Legend_Affinity_Greater">Variables!$H$29:$H$34</definedName>
    <definedName name="Legend_Affinity_Lesser">Variables!$G$29:$G$34</definedName>
    <definedName name="Legend_Affinity_Superior">Variables!$I$29:$I$34</definedName>
    <definedName name="Legend_Arcane_Greater">Variables!$L$29:$L$34</definedName>
    <definedName name="Legend_Arcane_Lesser">Variables!$K$29:$K$34</definedName>
    <definedName name="Legend_Arcane_Superior">Variables!$M$29:$M$34</definedName>
    <definedName name="Rare_Affinity_Greater">Variables!$H$13:$H$18</definedName>
    <definedName name="Rare_Affinity_Lesser">Variables!$G$13:$G$18</definedName>
    <definedName name="Rare_Affinity_Superior">Variables!$I$13:$I$18</definedName>
    <definedName name="Rare_Arcane_Greater">Variables!$L$13:$L$18</definedName>
    <definedName name="Rare_Arcane_Lesser">Variables!$K$13:$K$18</definedName>
    <definedName name="Rare_Arcane_Superior">Variables!$M$13:$M$18</definedName>
    <definedName name="Uncommon_Affinity_Greater">Variables!$H$5:$H$10</definedName>
    <definedName name="Uncommon_Affinity_Lesser">Variables!$G$5:$G$10</definedName>
    <definedName name="Uncommon_Affinity_Superior">Variables!$I$5:$I$10</definedName>
    <definedName name="Uncommon_Arcane_Greater">Variables!$L$5:$L$10</definedName>
    <definedName name="Uncommon_Arcane_Lesser">Variables!$K$5:$K$10</definedName>
    <definedName name="Uncommon_Arcane_Superior">Variables!$M$5:$M$10</definedName>
    <definedName name="V_CF_Ascension_Clear4">Variables!$B$25</definedName>
    <definedName name="V_CF_Ascension_Clear5">Variables!$B$26</definedName>
    <definedName name="V_CF_Dropdown_Epic">Variables!$P$5:$P$95</definedName>
    <definedName name="V_CF_Dropdown_Rare">Variables!$O$5:$O$75</definedName>
    <definedName name="V_DB_Ayumilove">Variables!$B$18</definedName>
    <definedName name="V_DB_Datamine">Variables!$B$20</definedName>
    <definedName name="V_DB_HellHadesTierList">Variables!$B$17</definedName>
    <definedName name="V_DB_MyChampions_Rebuild">Variables!$B$22</definedName>
    <definedName name="V_DB_RaidExtractor">Variables!$B$21</definedName>
    <definedName name="V_DB_Thumbnails">Variables!$B$19</definedName>
    <definedName name="V_Display_FormulaBar">Variables!$B$8</definedName>
    <definedName name="V_Display_Gridlines">Variables!$B$11</definedName>
    <definedName name="V_Display_Headings">Variables!$B$10</definedName>
    <definedName name="V_Display_Ribbon">Variables!$B$7</definedName>
    <definedName name="V_Display_WorkbookTabs">Variables!$B$9</definedName>
    <definedName name="V_Energy_Boss">Variables!$AB$5:$AB$8</definedName>
    <definedName name="V_Energy_Map">Variables!$Z$5:$Z$8</definedName>
    <definedName name="V_Energy_Regular">Variables!$AA$5:$AA$8</definedName>
    <definedName name="V_Farming_Level">Variables!$AD$5:$AD$88</definedName>
    <definedName name="V_Lvl10">Variables!$R$5:$R$13</definedName>
    <definedName name="V_Lvl20">Variables!$R$5:$R$23</definedName>
    <definedName name="V_Lvl30">Variables!$R$5:$R$33</definedName>
    <definedName name="V_Lvl40">Variables!$R$5:$R$43</definedName>
    <definedName name="V_Lvl50">Variables!$R$5:$R$53</definedName>
    <definedName name="V_Lvl60">Variables!$R$5:$R$63</definedName>
    <definedName name="V_ProgrammerMode">Variables!$B$14</definedName>
    <definedName name="V_Silver_Brutal">Variables!$AM$5:$AM$88</definedName>
    <definedName name="V_Silver_Hard">Variables!$AL$5:$AL$88</definedName>
    <definedName name="V_Silver_Nightmare">Variables!$AN$5:$AN$88</definedName>
    <definedName name="V_Silver_Normal">Variables!$AK$5:$AK$88</definedName>
    <definedName name="V_Thumbnails">Variables!$B$19</definedName>
    <definedName name="V_XP_1Star">Variables!$S$5:$S$14</definedName>
    <definedName name="V_XP_2Star">Variables!$T$5:$T$24</definedName>
    <definedName name="V_XP_3Star">Variables!$U$5:$U$34</definedName>
    <definedName name="V_XP_4Star">Variables!$V$5:$V$44</definedName>
    <definedName name="V_XP_5Star">Variables!$W$5:$W$54</definedName>
    <definedName name="V_XP_6Star">Variables!$X$5:$X$64</definedName>
    <definedName name="V_XP_Brutal">Variables!$AG$5:$AG$88</definedName>
    <definedName name="V_XP_Hard">Variables!$AF$5:$AF$88</definedName>
    <definedName name="V_XP_Nightmare">Variables!$AH$5:$AH$88</definedName>
    <definedName name="V_XP_Normal">Variables!$AE$5:$AE$88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4" i="4" l="1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33" i="4"/>
  <c r="F4" i="4"/>
  <c r="H51" i="5" l="1"/>
  <c r="H52" i="5"/>
  <c r="H53" i="5"/>
  <c r="H54" i="5"/>
  <c r="H55" i="5"/>
  <c r="H56" i="5"/>
  <c r="H57" i="5"/>
  <c r="H58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37" i="5"/>
  <c r="AU58" i="5" l="1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37" i="5"/>
  <c r="AV38" i="5"/>
  <c r="AV39" i="5"/>
  <c r="AV40" i="5"/>
  <c r="AV41" i="5"/>
  <c r="AV36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37" i="5"/>
  <c r="V8" i="5" l="1"/>
  <c r="E8" i="5" s="1"/>
  <c r="V7" i="5"/>
  <c r="E7" i="5" s="1"/>
  <c r="V6" i="5"/>
  <c r="E6" i="5" s="1"/>
  <c r="V5" i="5"/>
  <c r="E5" i="5" s="1"/>
  <c r="BZ117" i="5"/>
  <c r="BZ116" i="5"/>
  <c r="BZ115" i="5"/>
  <c r="BZ112" i="5"/>
  <c r="BZ114" i="5" s="1" a="1"/>
  <c r="BZ114" i="5" s="1"/>
  <c r="CC108" i="5"/>
  <c r="BN116" i="5" s="1"/>
  <c r="BZ108" i="5"/>
  <c r="CB108" i="5" s="1"/>
  <c r="BY108" i="5"/>
  <c r="CB115" i="5" s="1"/>
  <c r="BV108" i="5"/>
  <c r="BO115" i="5" s="1"/>
  <c r="BU108" i="5"/>
  <c r="BN114" i="5" s="1"/>
  <c r="BR108" i="5"/>
  <c r="BO114" i="5" s="1"/>
  <c r="BQ108" i="5"/>
  <c r="BN113" i="5" s="1"/>
  <c r="BN108" i="5"/>
  <c r="BP108" i="5" s="1"/>
  <c r="CA107" i="5"/>
  <c r="BZ107" i="5"/>
  <c r="CC116" i="5" s="1"/>
  <c r="BW107" i="5"/>
  <c r="BX107" i="5" s="1"/>
  <c r="CE115" i="5" s="1"/>
  <c r="BV107" i="5"/>
  <c r="CC115" i="5" s="1"/>
  <c r="BS107" i="5"/>
  <c r="BR107" i="5"/>
  <c r="CC114" i="5" s="1"/>
  <c r="BO107" i="5"/>
  <c r="BN107" i="5"/>
  <c r="BZ105" i="5"/>
  <c r="BV105" i="5"/>
  <c r="BR105" i="5"/>
  <c r="BN105" i="5"/>
  <c r="BQ103" i="5"/>
  <c r="BN103" i="5"/>
  <c r="BP103" i="5" s="1"/>
  <c r="BW102" i="5"/>
  <c r="BT102" i="5"/>
  <c r="BZ113" i="5"/>
  <c r="BP107" i="5" l="1"/>
  <c r="CE113" i="5" s="1"/>
  <c r="CC107" i="5"/>
  <c r="CF116" i="5" s="1"/>
  <c r="CJ116" i="5" s="1"/>
  <c r="CK116" i="5" s="1"/>
  <c r="BU107" i="5"/>
  <c r="CF114" i="5" s="1"/>
  <c r="CJ114" i="5" s="1"/>
  <c r="CK114" i="5" s="1"/>
  <c r="BQ107" i="5"/>
  <c r="CF113" i="5" s="1"/>
  <c r="CJ113" i="5" s="1"/>
  <c r="CK113" i="5" s="1"/>
  <c r="CD113" i="5"/>
  <c r="CC113" i="5"/>
  <c r="CB113" i="5"/>
  <c r="BY107" i="5"/>
  <c r="CF115" i="5" s="1"/>
  <c r="CJ115" i="5" s="1"/>
  <c r="CK115" i="5" s="1"/>
  <c r="BO116" i="5"/>
  <c r="BT116" i="5" s="1"/>
  <c r="BZ118" i="5"/>
  <c r="BZ119" i="5" s="1"/>
  <c r="BZ120" i="5" s="1"/>
  <c r="BZ121" i="5" s="1"/>
  <c r="BN115" i="5"/>
  <c r="BT115" i="5" s="1"/>
  <c r="BO113" i="5"/>
  <c r="BR113" i="5" s="1"/>
  <c r="CG113" i="5"/>
  <c r="CH113" i="5" s="1"/>
  <c r="BR115" i="5"/>
  <c r="BP115" i="5"/>
  <c r="BQ115" i="5"/>
  <c r="BQ114" i="5"/>
  <c r="BP114" i="5"/>
  <c r="BR114" i="5"/>
  <c r="BU114" i="5"/>
  <c r="BT114" i="5"/>
  <c r="BS114" i="5"/>
  <c r="CG115" i="5"/>
  <c r="CH115" i="5" s="1"/>
  <c r="CD116" i="5"/>
  <c r="BT107" i="5"/>
  <c r="CE114" i="5" s="1"/>
  <c r="CB107" i="5"/>
  <c r="CE116" i="5" s="1"/>
  <c r="CB114" i="5"/>
  <c r="CB116" i="5"/>
  <c r="BT108" i="5"/>
  <c r="CD114" i="5"/>
  <c r="CD115" i="5"/>
  <c r="BX108" i="5"/>
  <c r="BQ113" i="5" l="1"/>
  <c r="CL116" i="5"/>
  <c r="CI113" i="5"/>
  <c r="BK112" i="5"/>
  <c r="BK115" i="5"/>
  <c r="BI115" i="5"/>
  <c r="BP113" i="5"/>
  <c r="CL113" i="5"/>
  <c r="BJ112" i="5"/>
  <c r="BS115" i="5"/>
  <c r="BJ115" i="5"/>
  <c r="BS116" i="5"/>
  <c r="BI112" i="5"/>
  <c r="BU115" i="5"/>
  <c r="BK114" i="5"/>
  <c r="BP116" i="5"/>
  <c r="BR116" i="5"/>
  <c r="BK113" i="5" s="1"/>
  <c r="BQ116" i="5"/>
  <c r="BU116" i="5"/>
  <c r="BJ114" i="5"/>
  <c r="BI114" i="5"/>
  <c r="BT113" i="5"/>
  <c r="BJ116" i="5" s="1"/>
  <c r="BU113" i="5"/>
  <c r="BS113" i="5"/>
  <c r="CI115" i="5"/>
  <c r="CL114" i="5"/>
  <c r="CG116" i="5"/>
  <c r="CH116" i="5" s="1"/>
  <c r="CG114" i="5"/>
  <c r="CH114" i="5" s="1"/>
  <c r="CL115" i="5"/>
  <c r="BH104" i="5"/>
  <c r="BC104" i="5"/>
  <c r="AX104" i="5"/>
  <c r="AS104" i="5"/>
  <c r="AR104" i="5" l="1"/>
  <c r="BJ113" i="5"/>
  <c r="BI113" i="5"/>
  <c r="BI116" i="5"/>
  <c r="BK116" i="5"/>
  <c r="CI114" i="5"/>
  <c r="CI116" i="5"/>
  <c r="K8" i="5"/>
  <c r="K7" i="5"/>
  <c r="K6" i="5"/>
  <c r="K5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G8" i="5"/>
  <c r="G7" i="5"/>
  <c r="G6" i="5"/>
  <c r="G5" i="5"/>
  <c r="BE112" i="5" l="1"/>
  <c r="B37" i="5"/>
  <c r="D37" i="5" s="1"/>
  <c r="K35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B47" i="4"/>
  <c r="C47" i="4" s="1"/>
  <c r="D47" i="4" s="1"/>
  <c r="B48" i="4"/>
  <c r="C48" i="4" s="1"/>
  <c r="D48" i="4" s="1"/>
  <c r="B49" i="4"/>
  <c r="C49" i="4" s="1"/>
  <c r="D49" i="4" s="1"/>
  <c r="B50" i="4"/>
  <c r="C50" i="4" s="1"/>
  <c r="D50" i="4" s="1"/>
  <c r="B51" i="4"/>
  <c r="C51" i="4" s="1"/>
  <c r="D51" i="4" s="1"/>
  <c r="B52" i="4"/>
  <c r="C52" i="4" s="1"/>
  <c r="D52" i="4" s="1"/>
  <c r="B53" i="4"/>
  <c r="C53" i="4" s="1"/>
  <c r="D53" i="4" s="1"/>
  <c r="B54" i="4"/>
  <c r="C54" i="4" s="1"/>
  <c r="D54" i="4" s="1"/>
  <c r="H48" i="4"/>
  <c r="H49" i="4"/>
  <c r="H50" i="4"/>
  <c r="H51" i="4"/>
  <c r="H52" i="4"/>
  <c r="H53" i="4"/>
  <c r="H54" i="4"/>
  <c r="K36" i="5" l="1"/>
  <c r="L35" i="5"/>
  <c r="E37" i="5"/>
  <c r="H47" i="4"/>
  <c r="H46" i="4"/>
  <c r="B46" i="4"/>
  <c r="C46" i="4" s="1"/>
  <c r="D46" i="4" s="1"/>
  <c r="H45" i="4"/>
  <c r="B45" i="4"/>
  <c r="C45" i="4" s="1"/>
  <c r="D45" i="4" s="1"/>
  <c r="H44" i="4"/>
  <c r="B44" i="4"/>
  <c r="C44" i="4" s="1"/>
  <c r="D44" i="4" s="1"/>
  <c r="H43" i="4"/>
  <c r="B43" i="4"/>
  <c r="C43" i="4" s="1"/>
  <c r="D43" i="4" s="1"/>
  <c r="H42" i="4"/>
  <c r="B42" i="4"/>
  <c r="C42" i="4" s="1"/>
  <c r="D42" i="4" s="1"/>
  <c r="H41" i="4"/>
  <c r="B41" i="4"/>
  <c r="C41" i="4" s="1"/>
  <c r="D41" i="4" s="1"/>
  <c r="H40" i="4"/>
  <c r="B40" i="4"/>
  <c r="C40" i="4" s="1"/>
  <c r="D40" i="4" s="1"/>
  <c r="H39" i="4"/>
  <c r="B39" i="4"/>
  <c r="C39" i="4" s="1"/>
  <c r="D39" i="4" s="1"/>
  <c r="H38" i="4"/>
  <c r="B38" i="4"/>
  <c r="C38" i="4" s="1"/>
  <c r="D38" i="4" s="1"/>
  <c r="H37" i="4"/>
  <c r="B37" i="4"/>
  <c r="C37" i="4" s="1"/>
  <c r="D37" i="4" s="1"/>
  <c r="H36" i="4"/>
  <c r="B36" i="4"/>
  <c r="C36" i="4" s="1"/>
  <c r="D36" i="4" s="1"/>
  <c r="H35" i="4"/>
  <c r="B35" i="4"/>
  <c r="C35" i="4" s="1"/>
  <c r="D35" i="4" s="1"/>
  <c r="H34" i="4"/>
  <c r="B34" i="4"/>
  <c r="C34" i="4" s="1"/>
  <c r="D34" i="4" s="1"/>
  <c r="H33" i="4"/>
  <c r="B33" i="4"/>
  <c r="C33" i="4" s="1"/>
  <c r="K4" i="4"/>
  <c r="U4" i="4" l="1"/>
  <c r="BF116" i="5"/>
  <c r="AZ112" i="5"/>
  <c r="AZ113" i="5" s="1" a="1"/>
  <c r="AZ113" i="5" s="1"/>
  <c r="AX119" i="5" s="1"/>
  <c r="M35" i="5"/>
  <c r="L36" i="5"/>
  <c r="D33" i="4"/>
  <c r="I31" i="4"/>
  <c r="AN39" i="3"/>
  <c r="AP39" i="3" s="1"/>
  <c r="AQ39" i="3" s="1"/>
  <c r="AM39" i="3"/>
  <c r="AL35" i="3"/>
  <c r="AM31" i="3"/>
  <c r="AM29" i="3"/>
  <c r="AL29" i="3"/>
  <c r="AI26" i="3"/>
  <c r="AI25" i="3"/>
  <c r="Z25" i="3"/>
  <c r="AI24" i="3"/>
  <c r="AI21" i="3"/>
  <c r="AI23" i="3" s="1" a="1"/>
  <c r="AI23" i="3" s="1"/>
  <c r="AY18" i="3"/>
  <c r="BA18" i="3" s="1"/>
  <c r="AX18" i="3"/>
  <c r="W43" i="3" s="1"/>
  <c r="AU18" i="3"/>
  <c r="AW18" i="3" s="1"/>
  <c r="AQ18" i="3"/>
  <c r="AS18" i="3" s="1"/>
  <c r="AM18" i="3"/>
  <c r="AO18" i="3" s="1"/>
  <c r="AK18" i="3"/>
  <c r="AI18" i="3"/>
  <c r="AH18" i="3"/>
  <c r="W35" i="3" s="1"/>
  <c r="AE18" i="3"/>
  <c r="AG18" i="3" s="1"/>
  <c r="AD18" i="3"/>
  <c r="AK32" i="3" s="1"/>
  <c r="AC18" i="3"/>
  <c r="AA18" i="3"/>
  <c r="Z18" i="3"/>
  <c r="W31" i="3" s="1"/>
  <c r="W18" i="3"/>
  <c r="Y18" i="3" s="1"/>
  <c r="AZ17" i="3"/>
  <c r="AY17" i="3"/>
  <c r="AL44" i="3" s="1"/>
  <c r="AV17" i="3"/>
  <c r="AM43" i="3" s="1"/>
  <c r="AU17" i="3"/>
  <c r="AL43" i="3" s="1"/>
  <c r="AR17" i="3"/>
  <c r="AQ17" i="3"/>
  <c r="AL40" i="3" s="1"/>
  <c r="AP17" i="3"/>
  <c r="AO39" i="3" s="1"/>
  <c r="AS39" i="3" s="1"/>
  <c r="AT39" i="3" s="1"/>
  <c r="AO17" i="3"/>
  <c r="AN17" i="3"/>
  <c r="AM17" i="3"/>
  <c r="AL39" i="3" s="1"/>
  <c r="AJ17" i="3"/>
  <c r="AI17" i="3"/>
  <c r="AL36" i="3" s="1"/>
  <c r="AG17" i="3"/>
  <c r="AN35" i="3" s="1"/>
  <c r="AP35" i="3" s="1"/>
  <c r="AQ35" i="3" s="1"/>
  <c r="AF17" i="3"/>
  <c r="AM35" i="3" s="1"/>
  <c r="AE17" i="3"/>
  <c r="AB17" i="3"/>
  <c r="AA17" i="3"/>
  <c r="AL32" i="3" s="1"/>
  <c r="Z17" i="3"/>
  <c r="AO31" i="3" s="1"/>
  <c r="AS31" i="3" s="1"/>
  <c r="AT31" i="3" s="1"/>
  <c r="X17" i="3"/>
  <c r="Y17" i="3" s="1"/>
  <c r="AN31" i="3" s="1"/>
  <c r="AP31" i="3" s="1"/>
  <c r="AQ31" i="3" s="1"/>
  <c r="W17" i="3"/>
  <c r="AL31" i="3" s="1"/>
  <c r="BB18" i="3"/>
  <c r="AT18" i="3"/>
  <c r="W40" i="3" s="1"/>
  <c r="AP18" i="3"/>
  <c r="W39" i="3" s="1"/>
  <c r="AL18" i="3"/>
  <c r="AY15" i="3"/>
  <c r="AU15" i="3"/>
  <c r="AQ15" i="3"/>
  <c r="AM15" i="3"/>
  <c r="AI15" i="3"/>
  <c r="AE15" i="3"/>
  <c r="AA15" i="3"/>
  <c r="W15" i="3"/>
  <c r="AY14" i="3"/>
  <c r="BA14" i="3" s="1"/>
  <c r="AX14" i="3"/>
  <c r="AU14" i="3"/>
  <c r="AW14" i="3" s="1"/>
  <c r="AS14" i="3"/>
  <c r="AQ14" i="3"/>
  <c r="AO14" i="3"/>
  <c r="AM14" i="3"/>
  <c r="AI14" i="3"/>
  <c r="AK14" i="3" s="1"/>
  <c r="AH14" i="3"/>
  <c r="AE14" i="3"/>
  <c r="AG14" i="3" s="1"/>
  <c r="AD14" i="3"/>
  <c r="AK30" i="3" s="1"/>
  <c r="AC14" i="3"/>
  <c r="AA14" i="3"/>
  <c r="W14" i="3"/>
  <c r="Y14" i="3" s="1"/>
  <c r="AZ13" i="3"/>
  <c r="AM42" i="3" s="1"/>
  <c r="AY13" i="3"/>
  <c r="AL42" i="3" s="1"/>
  <c r="AV13" i="3"/>
  <c r="AX13" i="3" s="1"/>
  <c r="AO41" i="3" s="1"/>
  <c r="AS41" i="3" s="1"/>
  <c r="AT41" i="3" s="1"/>
  <c r="AU13" i="3"/>
  <c r="AL41" i="3" s="1"/>
  <c r="AR13" i="3"/>
  <c r="AQ13" i="3"/>
  <c r="AL38" i="3" s="1"/>
  <c r="AP13" i="3"/>
  <c r="AO37" i="3" s="1"/>
  <c r="AS37" i="3" s="1"/>
  <c r="AT37" i="3" s="1"/>
  <c r="AO13" i="3"/>
  <c r="AN37" i="3" s="1"/>
  <c r="AP37" i="3" s="1"/>
  <c r="AQ37" i="3" s="1"/>
  <c r="AN13" i="3"/>
  <c r="AM37" i="3" s="1"/>
  <c r="AM13" i="3"/>
  <c r="AL37" i="3" s="1"/>
  <c r="AJ13" i="3"/>
  <c r="AI13" i="3"/>
  <c r="AL34" i="3" s="1"/>
  <c r="AF13" i="3"/>
  <c r="AG13" i="3" s="1"/>
  <c r="AN33" i="3" s="1"/>
  <c r="AP33" i="3" s="1"/>
  <c r="AQ33" i="3" s="1"/>
  <c r="AE13" i="3"/>
  <c r="AL33" i="3" s="1"/>
  <c r="AB13" i="3"/>
  <c r="AA13" i="3"/>
  <c r="AL30" i="3" s="1"/>
  <c r="Z13" i="3"/>
  <c r="AO29" i="3" s="1"/>
  <c r="AS29" i="3" s="1"/>
  <c r="AT29" i="3" s="1"/>
  <c r="Y13" i="3"/>
  <c r="AN29" i="3" s="1"/>
  <c r="AP29" i="3" s="1"/>
  <c r="AQ29" i="3" s="1"/>
  <c r="X13" i="3"/>
  <c r="W13" i="3"/>
  <c r="BB14" i="3"/>
  <c r="AT14" i="3"/>
  <c r="AK38" i="3" s="1"/>
  <c r="AP14" i="3"/>
  <c r="W37" i="3" s="1"/>
  <c r="AL14" i="3"/>
  <c r="Z14" i="3"/>
  <c r="AY11" i="3"/>
  <c r="AU11" i="3"/>
  <c r="AQ11" i="3"/>
  <c r="AM11" i="3"/>
  <c r="AI11" i="3"/>
  <c r="AE11" i="3"/>
  <c r="AA11" i="3"/>
  <c r="W11" i="3"/>
  <c r="T10" i="3"/>
  <c r="S10" i="3"/>
  <c r="R10" i="3"/>
  <c r="Q10" i="3"/>
  <c r="P10" i="3"/>
  <c r="O10" i="3"/>
  <c r="N10" i="3"/>
  <c r="M10" i="3"/>
  <c r="L10" i="3"/>
  <c r="K10" i="3" s="1"/>
  <c r="J10" i="3"/>
  <c r="I10" i="3"/>
  <c r="H10" i="3"/>
  <c r="G10" i="3"/>
  <c r="F10" i="3" s="1"/>
  <c r="E10" i="3"/>
  <c r="D10" i="3"/>
  <c r="C10" i="3"/>
  <c r="B10" i="3"/>
  <c r="A10" i="3"/>
  <c r="AL9" i="3"/>
  <c r="AK25" i="3" s="1"/>
  <c r="AK9" i="3"/>
  <c r="AI9" i="3"/>
  <c r="X25" i="3" s="1"/>
  <c r="X42" i="3" s="1"/>
  <c r="AA42" i="3" s="1"/>
  <c r="AH9" i="3"/>
  <c r="W24" i="3" s="1"/>
  <c r="AE9" i="3"/>
  <c r="AG9" i="3" s="1"/>
  <c r="AD9" i="3"/>
  <c r="AA9" i="3"/>
  <c r="X23" i="3" s="1"/>
  <c r="W9" i="3"/>
  <c r="AJ8" i="3"/>
  <c r="AM25" i="3" s="1"/>
  <c r="AI8" i="3"/>
  <c r="AL25" i="3" s="1"/>
  <c r="AF8" i="3"/>
  <c r="AH8" i="3" s="1"/>
  <c r="AO24" i="3" s="1"/>
  <c r="AS24" i="3" s="1"/>
  <c r="AE8" i="3"/>
  <c r="AL24" i="3" s="1"/>
  <c r="AB8" i="3"/>
  <c r="AM23" i="3" s="1"/>
  <c r="AA8" i="3"/>
  <c r="AL23" i="3" s="1"/>
  <c r="Z8" i="3"/>
  <c r="AO22" i="3" s="1"/>
  <c r="Y8" i="3"/>
  <c r="AN22" i="3" s="1"/>
  <c r="X8" i="3"/>
  <c r="AM22" i="3" s="1"/>
  <c r="W8" i="3"/>
  <c r="AL22" i="3" s="1"/>
  <c r="Z9" i="3"/>
  <c r="AI6" i="3"/>
  <c r="AE6" i="3"/>
  <c r="AA6" i="3"/>
  <c r="W6" i="3"/>
  <c r="Q5" i="3"/>
  <c r="L5" i="3"/>
  <c r="G5" i="3"/>
  <c r="B5" i="3"/>
  <c r="A5" i="3" s="1"/>
  <c r="Z4" i="3"/>
  <c r="W4" i="3"/>
  <c r="Y4" i="3" s="1"/>
  <c r="AF3" i="3"/>
  <c r="AC3" i="3"/>
  <c r="AI22" i="3" a="1"/>
  <c r="AM41" i="3" l="1"/>
  <c r="AH13" i="3"/>
  <c r="AO33" i="3" s="1"/>
  <c r="AS33" i="3" s="1"/>
  <c r="AT33" i="3" s="1"/>
  <c r="AM24" i="3"/>
  <c r="W30" i="3"/>
  <c r="AG8" i="3"/>
  <c r="AN24" i="3" s="1"/>
  <c r="AP24" i="3" s="1"/>
  <c r="AQ24" i="3" s="1"/>
  <c r="AW13" i="3"/>
  <c r="AN41" i="3" s="1"/>
  <c r="AP41" i="3" s="1"/>
  <c r="AQ41" i="3" s="1"/>
  <c r="AH17" i="3"/>
  <c r="AO35" i="3" s="1"/>
  <c r="AS35" i="3" s="1"/>
  <c r="AT35" i="3" s="1"/>
  <c r="X24" i="3"/>
  <c r="AM33" i="3"/>
  <c r="AW17" i="3"/>
  <c r="AN43" i="3" s="1"/>
  <c r="AP43" i="3" s="1"/>
  <c r="AQ43" i="3" s="1"/>
  <c r="AX17" i="3"/>
  <c r="AO43" i="3" s="1"/>
  <c r="AS43" i="3" s="1"/>
  <c r="AT43" i="3" s="1"/>
  <c r="AI22" i="3"/>
  <c r="BA116" i="5"/>
  <c r="BE113" i="5" a="1"/>
  <c r="BE113" i="5" s="1"/>
  <c r="BC119" i="5" s="1"/>
  <c r="AZ114" i="5" a="1"/>
  <c r="AZ114" i="5" s="1"/>
  <c r="BA117" i="5" s="1"/>
  <c r="N35" i="5"/>
  <c r="M36" i="5"/>
  <c r="J31" i="4"/>
  <c r="I32" i="4"/>
  <c r="AI27" i="3"/>
  <c r="AI28" i="3" s="1"/>
  <c r="AI29" i="3" s="1"/>
  <c r="AI30" i="3" s="1"/>
  <c r="AK43" i="3"/>
  <c r="AK35" i="3"/>
  <c r="AK31" i="3"/>
  <c r="AK37" i="3"/>
  <c r="AK24" i="3"/>
  <c r="AK34" i="3"/>
  <c r="W34" i="3"/>
  <c r="Y23" i="3"/>
  <c r="X33" i="3"/>
  <c r="AA23" i="3"/>
  <c r="Z23" i="3"/>
  <c r="X35" i="3"/>
  <c r="AM30" i="3"/>
  <c r="AD13" i="3"/>
  <c r="AO30" i="3" s="1"/>
  <c r="AS30" i="3" s="1"/>
  <c r="AT30" i="3" s="1"/>
  <c r="AC13" i="3"/>
  <c r="AN30" i="3" s="1"/>
  <c r="AP30" i="3" s="1"/>
  <c r="AQ30" i="3" s="1"/>
  <c r="AB35" i="3"/>
  <c r="AC35" i="3"/>
  <c r="W32" i="3"/>
  <c r="AR31" i="3"/>
  <c r="AU31" i="3"/>
  <c r="AU29" i="3"/>
  <c r="AR29" i="3"/>
  <c r="AR30" i="3"/>
  <c r="AU32" i="3"/>
  <c r="AK29" i="3"/>
  <c r="W29" i="3"/>
  <c r="AR43" i="3"/>
  <c r="AR32" i="3"/>
  <c r="AK39" i="3"/>
  <c r="AD35" i="3"/>
  <c r="AS22" i="3"/>
  <c r="AT22" i="3" s="1"/>
  <c r="AD39" i="3"/>
  <c r="AC39" i="3"/>
  <c r="AB39" i="3"/>
  <c r="AK33" i="3"/>
  <c r="W33" i="3"/>
  <c r="X34" i="3"/>
  <c r="AR37" i="3"/>
  <c r="AR39" i="3"/>
  <c r="AU38" i="3"/>
  <c r="AU37" i="3"/>
  <c r="AU39" i="3"/>
  <c r="AC9" i="3"/>
  <c r="AP22" i="3"/>
  <c r="AQ22" i="3" s="1"/>
  <c r="AK36" i="3"/>
  <c r="W36" i="3"/>
  <c r="AM36" i="3"/>
  <c r="AL17" i="3"/>
  <c r="AO36" i="3" s="1"/>
  <c r="AS36" i="3" s="1"/>
  <c r="AT36" i="3" s="1"/>
  <c r="AK17" i="3"/>
  <c r="AN36" i="3" s="1"/>
  <c r="AP36" i="3" s="1"/>
  <c r="AQ36" i="3" s="1"/>
  <c r="AK22" i="3"/>
  <c r="W22" i="3"/>
  <c r="AU35" i="3"/>
  <c r="AU33" i="3"/>
  <c r="AR33" i="3"/>
  <c r="AR35" i="3"/>
  <c r="AT24" i="3"/>
  <c r="AU24" i="3" s="1"/>
  <c r="X36" i="3"/>
  <c r="W38" i="3"/>
  <c r="AK42" i="3"/>
  <c r="W42" i="3"/>
  <c r="BB13" i="3"/>
  <c r="AO42" i="3" s="1"/>
  <c r="AS42" i="3" s="1"/>
  <c r="AT42" i="3" s="1"/>
  <c r="BA13" i="3"/>
  <c r="AN42" i="3" s="1"/>
  <c r="AP42" i="3" s="1"/>
  <c r="AQ42" i="3" s="1"/>
  <c r="AD17" i="3"/>
  <c r="AO32" i="3" s="1"/>
  <c r="AS32" i="3" s="1"/>
  <c r="AT32" i="3" s="1"/>
  <c r="AC17" i="3"/>
  <c r="AN32" i="3" s="1"/>
  <c r="AP32" i="3" s="1"/>
  <c r="AQ32" i="3" s="1"/>
  <c r="AU41" i="3"/>
  <c r="AK41" i="3"/>
  <c r="W41" i="3"/>
  <c r="AC24" i="3"/>
  <c r="AB24" i="3"/>
  <c r="AM38" i="3"/>
  <c r="AT13" i="3"/>
  <c r="AO38" i="3" s="1"/>
  <c r="AS38" i="3" s="1"/>
  <c r="AT38" i="3" s="1"/>
  <c r="AS13" i="3"/>
  <c r="AN38" i="3" s="1"/>
  <c r="AP38" i="3" s="1"/>
  <c r="AQ38" i="3" s="1"/>
  <c r="AK44" i="3"/>
  <c r="W44" i="3"/>
  <c r="AM44" i="3"/>
  <c r="BB17" i="3"/>
  <c r="AO44" i="3" s="1"/>
  <c r="AS44" i="3" s="1"/>
  <c r="AT44" i="3" s="1"/>
  <c r="BA17" i="3"/>
  <c r="AN44" i="3" s="1"/>
  <c r="AP44" i="3" s="1"/>
  <c r="AQ44" i="3" s="1"/>
  <c r="W25" i="3"/>
  <c r="AK40" i="3"/>
  <c r="Y42" i="3"/>
  <c r="AK23" i="3"/>
  <c r="W23" i="3"/>
  <c r="AU44" i="3"/>
  <c r="AR41" i="3"/>
  <c r="AR44" i="3"/>
  <c r="AU43" i="3"/>
  <c r="AR42" i="3"/>
  <c r="AL8" i="3"/>
  <c r="AO25" i="3" s="1"/>
  <c r="AK8" i="3"/>
  <c r="AN25" i="3" s="1"/>
  <c r="X41" i="3"/>
  <c r="X43" i="3"/>
  <c r="AC43" i="3" s="1"/>
  <c r="X39" i="3"/>
  <c r="X38" i="3"/>
  <c r="Y25" i="3"/>
  <c r="Z42" i="3"/>
  <c r="Y9" i="3"/>
  <c r="X22" i="3"/>
  <c r="AL13" i="3"/>
  <c r="AO34" i="3" s="1"/>
  <c r="AS34" i="3" s="1"/>
  <c r="AT34" i="3" s="1"/>
  <c r="AK13" i="3"/>
  <c r="AN34" i="3" s="1"/>
  <c r="AT17" i="3"/>
  <c r="AO40" i="3" s="1"/>
  <c r="AS40" i="3" s="1"/>
  <c r="AT40" i="3" s="1"/>
  <c r="AM40" i="3"/>
  <c r="AS17" i="3"/>
  <c r="AN40" i="3" s="1"/>
  <c r="AP40" i="3" s="1"/>
  <c r="AQ40" i="3" s="1"/>
  <c r="AM34" i="3"/>
  <c r="X44" i="3"/>
  <c r="AD8" i="3"/>
  <c r="AO23" i="3" s="1"/>
  <c r="AC8" i="3"/>
  <c r="AN23" i="3" s="1"/>
  <c r="Z24" i="3"/>
  <c r="AA25" i="3"/>
  <c r="AM32" i="3"/>
  <c r="AB43" i="3" l="1"/>
  <c r="AD43" i="3"/>
  <c r="AU36" i="3"/>
  <c r="AU30" i="3"/>
  <c r="X37" i="3"/>
  <c r="X40" i="3"/>
  <c r="Y24" i="3"/>
  <c r="AA24" i="3"/>
  <c r="AD24" i="3"/>
  <c r="BE114" i="5" a="1"/>
  <c r="BE114" i="5" s="1"/>
  <c r="BF117" i="5" s="1"/>
  <c r="O35" i="5"/>
  <c r="N36" i="5"/>
  <c r="K31" i="4"/>
  <c r="J32" i="4"/>
  <c r="AD23" i="3"/>
  <c r="AC23" i="3"/>
  <c r="AB23" i="3"/>
  <c r="Z35" i="3"/>
  <c r="Y35" i="3"/>
  <c r="AA35" i="3"/>
  <c r="AS23" i="3"/>
  <c r="AT23" i="3" s="1"/>
  <c r="AU23" i="3"/>
  <c r="X31" i="3"/>
  <c r="X29" i="3"/>
  <c r="Z22" i="3"/>
  <c r="AA22" i="3"/>
  <c r="Y22" i="3"/>
  <c r="X30" i="3"/>
  <c r="AB30" i="3" s="1"/>
  <c r="X32" i="3"/>
  <c r="AP25" i="3"/>
  <c r="AQ25" i="3" s="1"/>
  <c r="AD44" i="3"/>
  <c r="AC44" i="3"/>
  <c r="AB44" i="3"/>
  <c r="AC42" i="3"/>
  <c r="AB42" i="3"/>
  <c r="AD42" i="3"/>
  <c r="T25" i="3"/>
  <c r="S24" i="3"/>
  <c r="S25" i="3"/>
  <c r="R24" i="3"/>
  <c r="T23" i="3"/>
  <c r="AB22" i="3"/>
  <c r="R23" i="3"/>
  <c r="R22" i="3"/>
  <c r="T24" i="3"/>
  <c r="S23" i="3"/>
  <c r="T22" i="3"/>
  <c r="R25" i="3"/>
  <c r="S22" i="3"/>
  <c r="AC22" i="3"/>
  <c r="AD22" i="3"/>
  <c r="Y44" i="3"/>
  <c r="Z44" i="3"/>
  <c r="AA44" i="3"/>
  <c r="AS25" i="3"/>
  <c r="AT25" i="3" s="1"/>
  <c r="AU42" i="3"/>
  <c r="AD41" i="3"/>
  <c r="AC41" i="3"/>
  <c r="AB41" i="3"/>
  <c r="AU34" i="3"/>
  <c r="AR22" i="3"/>
  <c r="AR24" i="3"/>
  <c r="AC32" i="3"/>
  <c r="AD32" i="3"/>
  <c r="AB32" i="3"/>
  <c r="AA34" i="3"/>
  <c r="Z34" i="3"/>
  <c r="Y34" i="3"/>
  <c r="Z33" i="3"/>
  <c r="AA33" i="3"/>
  <c r="Y33" i="3"/>
  <c r="AA38" i="3"/>
  <c r="Y38" i="3"/>
  <c r="Z38" i="3"/>
  <c r="AD25" i="3"/>
  <c r="AC25" i="3"/>
  <c r="AB25" i="3"/>
  <c r="AU22" i="3"/>
  <c r="AC34" i="3"/>
  <c r="AB34" i="3"/>
  <c r="AD34" i="3"/>
  <c r="AP23" i="3"/>
  <c r="AQ23" i="3" s="1"/>
  <c r="AR23" i="3"/>
  <c r="Z41" i="3"/>
  <c r="Y41" i="3"/>
  <c r="AA41" i="3"/>
  <c r="AA39" i="3"/>
  <c r="Z39" i="3"/>
  <c r="Y39" i="3"/>
  <c r="AB38" i="3"/>
  <c r="AD38" i="3"/>
  <c r="AC38" i="3"/>
  <c r="AR40" i="3"/>
  <c r="AB33" i="3"/>
  <c r="AD33" i="3"/>
  <c r="AC33" i="3"/>
  <c r="AP34" i="3"/>
  <c r="AQ34" i="3" s="1"/>
  <c r="Z43" i="3"/>
  <c r="Y43" i="3"/>
  <c r="AA43" i="3"/>
  <c r="Y36" i="3"/>
  <c r="AA36" i="3"/>
  <c r="Z36" i="3"/>
  <c r="AR36" i="3"/>
  <c r="AD36" i="3"/>
  <c r="AB36" i="3"/>
  <c r="AC36" i="3"/>
  <c r="AU40" i="3"/>
  <c r="AD29" i="3"/>
  <c r="AC29" i="3"/>
  <c r="AB29" i="3"/>
  <c r="AR38" i="3"/>
  <c r="AB40" i="3" l="1"/>
  <c r="AC40" i="3"/>
  <c r="AD40" i="3"/>
  <c r="AA40" i="3"/>
  <c r="Z40" i="3"/>
  <c r="Y40" i="3"/>
  <c r="AA37" i="3"/>
  <c r="AC37" i="3"/>
  <c r="AD37" i="3"/>
  <c r="AB37" i="3"/>
  <c r="Z37" i="3"/>
  <c r="Y37" i="3"/>
  <c r="AC30" i="3"/>
  <c r="AD31" i="3"/>
  <c r="AB31" i="3"/>
  <c r="AC31" i="3"/>
  <c r="AD30" i="3"/>
  <c r="P35" i="5"/>
  <c r="O36" i="5"/>
  <c r="L31" i="4"/>
  <c r="K32" i="4"/>
  <c r="AA32" i="3"/>
  <c r="Z32" i="3"/>
  <c r="Y32" i="3"/>
  <c r="AR34" i="3"/>
  <c r="Z30" i="3"/>
  <c r="Y30" i="3"/>
  <c r="AA30" i="3"/>
  <c r="AU25" i="3"/>
  <c r="AA29" i="3"/>
  <c r="Z29" i="3"/>
  <c r="Y29" i="3"/>
  <c r="AR25" i="3"/>
  <c r="AA31" i="3"/>
  <c r="Z31" i="3"/>
  <c r="Y31" i="3"/>
  <c r="T26" i="3" l="1"/>
  <c r="S26" i="3"/>
  <c r="R26" i="3"/>
  <c r="P36" i="5"/>
  <c r="Q35" i="5"/>
  <c r="N22" i="3"/>
  <c r="O26" i="3" s="1"/>
  <c r="M31" i="4"/>
  <c r="L32" i="4"/>
  <c r="I22" i="3"/>
  <c r="R35" i="5" l="1"/>
  <c r="Q36" i="5"/>
  <c r="N23" i="3"/>
  <c r="L29" i="3" s="1"/>
  <c r="M32" i="4"/>
  <c r="N31" i="4"/>
  <c r="J26" i="3"/>
  <c r="I23" i="3"/>
  <c r="R36" i="5" l="1"/>
  <c r="S35" i="5"/>
  <c r="N24" i="3"/>
  <c r="O27" i="3" s="1"/>
  <c r="N32" i="4"/>
  <c r="O31" i="4"/>
  <c r="I24" i="3"/>
  <c r="J27" i="3" s="1"/>
  <c r="G29" i="3"/>
  <c r="T35" i="5" l="1"/>
  <c r="S36" i="5"/>
  <c r="O32" i="4"/>
  <c r="P31" i="4"/>
  <c r="U35" i="5" l="1"/>
  <c r="T36" i="5"/>
  <c r="P32" i="4"/>
  <c r="Q31" i="4"/>
  <c r="U36" i="5" l="1"/>
  <c r="V35" i="5"/>
  <c r="R31" i="4"/>
  <c r="Q32" i="4"/>
  <c r="W35" i="5" l="1"/>
  <c r="V36" i="5"/>
  <c r="S31" i="4"/>
  <c r="R32" i="4"/>
  <c r="X35" i="5" l="1"/>
  <c r="W36" i="5"/>
  <c r="T31" i="4"/>
  <c r="S32" i="4"/>
  <c r="Y35" i="5" l="1"/>
  <c r="X36" i="5"/>
  <c r="U31" i="4"/>
  <c r="T32" i="4"/>
  <c r="Y36" i="5" l="1"/>
  <c r="Z35" i="5"/>
  <c r="U32" i="4"/>
  <c r="V31" i="4"/>
  <c r="AA35" i="5" l="1"/>
  <c r="Z36" i="5"/>
  <c r="V32" i="4"/>
  <c r="W31" i="4"/>
  <c r="AB35" i="5" l="1"/>
  <c r="AA36" i="5"/>
  <c r="W32" i="4"/>
  <c r="X31" i="4"/>
  <c r="AC35" i="5" l="1"/>
  <c r="AB36" i="5"/>
  <c r="X32" i="4"/>
  <c r="Y31" i="4"/>
  <c r="AD35" i="5" l="1"/>
  <c r="AC36" i="5"/>
  <c r="Z31" i="4"/>
  <c r="Y32" i="4"/>
  <c r="AD36" i="5" l="1"/>
  <c r="AE35" i="5"/>
  <c r="AA31" i="4"/>
  <c r="Z32" i="4"/>
  <c r="AF35" i="5" l="1"/>
  <c r="AE36" i="5"/>
  <c r="AB31" i="4"/>
  <c r="AA32" i="4"/>
  <c r="AF36" i="5" l="1"/>
  <c r="AG35" i="5"/>
  <c r="AC31" i="4"/>
  <c r="AC32" i="4" s="1"/>
  <c r="AB32" i="4"/>
  <c r="AH35" i="5" l="1"/>
  <c r="AG36" i="5"/>
  <c r="AH36" i="5" l="1"/>
  <c r="AI35" i="5"/>
  <c r="AJ35" i="5" l="1"/>
  <c r="AI36" i="5"/>
  <c r="AJ36" i="5" l="1"/>
  <c r="AK35" i="5"/>
  <c r="AK3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<sst xmlns="http://schemas.openxmlformats.org/spreadsheetml/2006/main" count="1126" uniqueCount="466">
  <si>
    <t>Explanation of coloured backgrounds</t>
  </si>
  <si>
    <t>[Rarity]_Affinity_Lesser</t>
  </si>
  <si>
    <t>[Rarity]_Affinity_Greater</t>
  </si>
  <si>
    <t>[Rarity]_Affinity_Superior</t>
  </si>
  <si>
    <t>[Rarity]_Arcane_Lesser</t>
  </si>
  <si>
    <t>[Rarity]_Arcane_Greater</t>
  </si>
  <si>
    <t>[Rarity]_Arcane_Superior</t>
  </si>
  <si>
    <t/>
  </si>
  <si>
    <t>Named Range (single cell or table)</t>
  </si>
  <si>
    <t>Named Object (button, image etc)</t>
  </si>
  <si>
    <t>Ascension Potions</t>
  </si>
  <si>
    <t>Fusion Dropdowns</t>
  </si>
  <si>
    <t>XP Requirements to level up</t>
  </si>
  <si>
    <t>Energy Costs</t>
  </si>
  <si>
    <t>Xp Per Level</t>
  </si>
  <si>
    <t>Silver Per Level</t>
  </si>
  <si>
    <t>Uncommon</t>
  </si>
  <si>
    <t>Lesser</t>
  </si>
  <si>
    <t>Greater</t>
  </si>
  <si>
    <t>Superior</t>
  </si>
  <si>
    <t>Rare</t>
  </si>
  <si>
    <t>Epic</t>
  </si>
  <si>
    <t>LVL</t>
  </si>
  <si>
    <t>1 Star</t>
  </si>
  <si>
    <t>2 Star</t>
  </si>
  <si>
    <t>3 Star</t>
  </si>
  <si>
    <t>4 Star</t>
  </si>
  <si>
    <t>5 Star</t>
  </si>
  <si>
    <t>6 Star</t>
  </si>
  <si>
    <t>Map Lvl</t>
  </si>
  <si>
    <t>Regular</t>
  </si>
  <si>
    <t>Boss</t>
  </si>
  <si>
    <t>Stage</t>
  </si>
  <si>
    <t>Normal</t>
  </si>
  <si>
    <t>Hard</t>
  </si>
  <si>
    <t>Brutal</t>
  </si>
  <si>
    <t>Nightmare</t>
  </si>
  <si>
    <t>Lvl</t>
  </si>
  <si>
    <t>Affinity</t>
  </si>
  <si>
    <t>Arcane</t>
  </si>
  <si>
    <t>1-1</t>
  </si>
  <si>
    <t>40/40</t>
  </si>
  <si>
    <t>50/50</t>
  </si>
  <si>
    <t>1-2</t>
  </si>
  <si>
    <t>39/40</t>
  </si>
  <si>
    <t>49/50</t>
  </si>
  <si>
    <t>1-3</t>
  </si>
  <si>
    <t>38/40</t>
  </si>
  <si>
    <t>48/50</t>
  </si>
  <si>
    <t>1-4</t>
  </si>
  <si>
    <t>37/40</t>
  </si>
  <si>
    <t>47/50</t>
  </si>
  <si>
    <t>1-5</t>
  </si>
  <si>
    <t>36/40</t>
  </si>
  <si>
    <t>46/50</t>
  </si>
  <si>
    <t>1-6</t>
  </si>
  <si>
    <t>35/40</t>
  </si>
  <si>
    <t>45/50</t>
  </si>
  <si>
    <t>1-7</t>
  </si>
  <si>
    <t>34/40</t>
  </si>
  <si>
    <t>44/50</t>
  </si>
  <si>
    <t>2-1</t>
  </si>
  <si>
    <t>Display Management</t>
  </si>
  <si>
    <t>33/40</t>
  </si>
  <si>
    <t>43/50</t>
  </si>
  <si>
    <t>2-2</t>
  </si>
  <si>
    <t>32/40</t>
  </si>
  <si>
    <t>42/50</t>
  </si>
  <si>
    <t>2-3</t>
  </si>
  <si>
    <t>31/40</t>
  </si>
  <si>
    <t>41/50</t>
  </si>
  <si>
    <t>2-4</t>
  </si>
  <si>
    <t>30/40</t>
  </si>
  <si>
    <t>40/50</t>
  </si>
  <si>
    <t>2-5</t>
  </si>
  <si>
    <t>29/40</t>
  </si>
  <si>
    <t>39/50</t>
  </si>
  <si>
    <t>2-6</t>
  </si>
  <si>
    <t>28/40</t>
  </si>
  <si>
    <t>38/50</t>
  </si>
  <si>
    <t>2-7</t>
  </si>
  <si>
    <t>27/40</t>
  </si>
  <si>
    <t>37/50</t>
  </si>
  <si>
    <t>3-1</t>
  </si>
  <si>
    <t>Debugging</t>
  </si>
  <si>
    <t>26/40</t>
  </si>
  <si>
    <t>36/50</t>
  </si>
  <si>
    <t>3-2</t>
  </si>
  <si>
    <t>V_ProgrammerMode</t>
  </si>
  <si>
    <t>25/40</t>
  </si>
  <si>
    <t>35/50</t>
  </si>
  <si>
    <t>3-3</t>
  </si>
  <si>
    <t>24/40</t>
  </si>
  <si>
    <t>34/50</t>
  </si>
  <si>
    <t>3-4</t>
  </si>
  <si>
    <t>Databses Used</t>
  </si>
  <si>
    <t>23/40</t>
  </si>
  <si>
    <t>33/50</t>
  </si>
  <si>
    <t>3-5</t>
  </si>
  <si>
    <t>V_DB_HellHadesTierList</t>
  </si>
  <si>
    <t>22/40</t>
  </si>
  <si>
    <t>32/50</t>
  </si>
  <si>
    <t>3-6</t>
  </si>
  <si>
    <t>V_DB_Ayumilove</t>
  </si>
  <si>
    <t>21/40</t>
  </si>
  <si>
    <t>31/50</t>
  </si>
  <si>
    <t>3-7</t>
  </si>
  <si>
    <t>V_DB_Thumbnails</t>
  </si>
  <si>
    <t>20/40</t>
  </si>
  <si>
    <t>30/50</t>
  </si>
  <si>
    <t>4-1</t>
  </si>
  <si>
    <t>V_DB_Datamine</t>
  </si>
  <si>
    <t xml:space="preserve"> </t>
  </si>
  <si>
    <t>19/40</t>
  </si>
  <si>
    <t>29/50</t>
  </si>
  <si>
    <t>4-2</t>
  </si>
  <si>
    <t>V_DB_RaidExtractor</t>
  </si>
  <si>
    <t>Legend</t>
  </si>
  <si>
    <t>18/40</t>
  </si>
  <si>
    <t>28/50</t>
  </si>
  <si>
    <t>4-3</t>
  </si>
  <si>
    <t>V_DB_MyChampions_Rebuild</t>
  </si>
  <si>
    <t>Not Required</t>
  </si>
  <si>
    <t>17/40</t>
  </si>
  <si>
    <t>27/50</t>
  </si>
  <si>
    <t>4-4</t>
  </si>
  <si>
    <t>16/40</t>
  </si>
  <si>
    <t>26/50</t>
  </si>
  <si>
    <t>4-5</t>
  </si>
  <si>
    <t>Ascension (cleared data - used by macro)</t>
  </si>
  <si>
    <t>15/40</t>
  </si>
  <si>
    <t>25/50</t>
  </si>
  <si>
    <t>4-6</t>
  </si>
  <si>
    <t>✧✧✧✧</t>
  </si>
  <si>
    <t>14/40</t>
  </si>
  <si>
    <t>24/50</t>
  </si>
  <si>
    <t>4-7</t>
  </si>
  <si>
    <t>✧✧✧✧✧</t>
  </si>
  <si>
    <t>13/40</t>
  </si>
  <si>
    <t>23/50</t>
  </si>
  <si>
    <t>5-1</t>
  </si>
  <si>
    <t>12/40</t>
  </si>
  <si>
    <t>22/50</t>
  </si>
  <si>
    <t>5-2</t>
  </si>
  <si>
    <t>11/40</t>
  </si>
  <si>
    <t>21/50</t>
  </si>
  <si>
    <t>5-3</t>
  </si>
  <si>
    <t>10/40</t>
  </si>
  <si>
    <t>20/50</t>
  </si>
  <si>
    <t>5-4</t>
  </si>
  <si>
    <t>9/40</t>
  </si>
  <si>
    <t>19/50</t>
  </si>
  <si>
    <t>5-5</t>
  </si>
  <si>
    <t>8/40</t>
  </si>
  <si>
    <t>18/50</t>
  </si>
  <si>
    <t>5-6</t>
  </si>
  <si>
    <t>7/40</t>
  </si>
  <si>
    <t>17/50</t>
  </si>
  <si>
    <t>5-7</t>
  </si>
  <si>
    <t>6/40</t>
  </si>
  <si>
    <t>16/50</t>
  </si>
  <si>
    <t>6-1</t>
  </si>
  <si>
    <t>5/40</t>
  </si>
  <si>
    <t>15/50</t>
  </si>
  <si>
    <t>6-2</t>
  </si>
  <si>
    <t>4/40</t>
  </si>
  <si>
    <t>14/50</t>
  </si>
  <si>
    <t>6-3</t>
  </si>
  <si>
    <t>3/40</t>
  </si>
  <si>
    <t>13/50</t>
  </si>
  <si>
    <t>6-4</t>
  </si>
  <si>
    <t>Ascension_4</t>
  </si>
  <si>
    <t>2/40</t>
  </si>
  <si>
    <t>12/50</t>
  </si>
  <si>
    <t>6-5</t>
  </si>
  <si>
    <t>1/40</t>
  </si>
  <si>
    <t>11/50</t>
  </si>
  <si>
    <t>6-6</t>
  </si>
  <si>
    <t>Ascension_5</t>
  </si>
  <si>
    <t>30/30</t>
  </si>
  <si>
    <t>10/50</t>
  </si>
  <si>
    <t>6-7</t>
  </si>
  <si>
    <t>29/30</t>
  </si>
  <si>
    <t>9/50</t>
  </si>
  <si>
    <t>7-1</t>
  </si>
  <si>
    <t>Ascension_6</t>
  </si>
  <si>
    <t>28/30</t>
  </si>
  <si>
    <t>8/50</t>
  </si>
  <si>
    <t>7-2</t>
  </si>
  <si>
    <t>27/30</t>
  </si>
  <si>
    <t>7/50</t>
  </si>
  <si>
    <t>7-3</t>
  </si>
  <si>
    <t>26/30</t>
  </si>
  <si>
    <t>6/50</t>
  </si>
  <si>
    <t>7-4</t>
  </si>
  <si>
    <t>25/30</t>
  </si>
  <si>
    <t>5/50</t>
  </si>
  <si>
    <t>7-5</t>
  </si>
  <si>
    <t>24/30</t>
  </si>
  <si>
    <t>4/50</t>
  </si>
  <si>
    <t>7-6</t>
  </si>
  <si>
    <t>23/30</t>
  </si>
  <si>
    <t>3/50</t>
  </si>
  <si>
    <t>7-7</t>
  </si>
  <si>
    <t>22/30</t>
  </si>
  <si>
    <t>2/50</t>
  </si>
  <si>
    <t>8-1</t>
  </si>
  <si>
    <t>21/30</t>
  </si>
  <si>
    <t>1/50</t>
  </si>
  <si>
    <t>8-2</t>
  </si>
  <si>
    <t>20/30</t>
  </si>
  <si>
    <t>8-3</t>
  </si>
  <si>
    <t>19/30</t>
  </si>
  <si>
    <t>8-4</t>
  </si>
  <si>
    <t>18/30</t>
  </si>
  <si>
    <t>8-5</t>
  </si>
  <si>
    <t>17/30</t>
  </si>
  <si>
    <t>8-6</t>
  </si>
  <si>
    <t>16/30</t>
  </si>
  <si>
    <t>8-7</t>
  </si>
  <si>
    <t>15/30</t>
  </si>
  <si>
    <t>9-1</t>
  </si>
  <si>
    <t>???</t>
  </si>
  <si>
    <t>14/30</t>
  </si>
  <si>
    <t>9-2</t>
  </si>
  <si>
    <t>13/30</t>
  </si>
  <si>
    <t>9-3</t>
  </si>
  <si>
    <t>12/30</t>
  </si>
  <si>
    <t>9-4</t>
  </si>
  <si>
    <t>11/30</t>
  </si>
  <si>
    <t>9-5</t>
  </si>
  <si>
    <t>10/30</t>
  </si>
  <si>
    <t>9-6</t>
  </si>
  <si>
    <t>9/30</t>
  </si>
  <si>
    <t>9-7</t>
  </si>
  <si>
    <t>8/30</t>
  </si>
  <si>
    <t>10-1</t>
  </si>
  <si>
    <t>7/30</t>
  </si>
  <si>
    <t>10-2</t>
  </si>
  <si>
    <t>6/30</t>
  </si>
  <si>
    <t>10-3</t>
  </si>
  <si>
    <t>5/30</t>
  </si>
  <si>
    <t>10-4</t>
  </si>
  <si>
    <t>4/30</t>
  </si>
  <si>
    <t>10-5</t>
  </si>
  <si>
    <t>3/30</t>
  </si>
  <si>
    <t>10-6</t>
  </si>
  <si>
    <t>2/30</t>
  </si>
  <si>
    <t>10-7</t>
  </si>
  <si>
    <t>1/30</t>
  </si>
  <si>
    <t>11-1</t>
  </si>
  <si>
    <t>11-2</t>
  </si>
  <si>
    <t>11-3</t>
  </si>
  <si>
    <t>11-4</t>
  </si>
  <si>
    <t>11-5</t>
  </si>
  <si>
    <t>11-6</t>
  </si>
  <si>
    <t>11-7</t>
  </si>
  <si>
    <t>12-1</t>
  </si>
  <si>
    <t>12-2</t>
  </si>
  <si>
    <t>12-3</t>
  </si>
  <si>
    <t>12-4</t>
  </si>
  <si>
    <t>12-5</t>
  </si>
  <si>
    <t>12-6</t>
  </si>
  <si>
    <t>12-7</t>
  </si>
  <si>
    <t>Legendary</t>
  </si>
  <si>
    <t>Force</t>
  </si>
  <si>
    <t>Spirit</t>
  </si>
  <si>
    <t>Magic</t>
  </si>
  <si>
    <t>Void</t>
  </si>
  <si>
    <t>Fusion_XP_Legend5</t>
  </si>
  <si>
    <t>Fusion_XP_Legend6</t>
  </si>
  <si>
    <t>Current</t>
  </si>
  <si>
    <t>Of</t>
  </si>
  <si>
    <t>Remain 5*</t>
  </si>
  <si>
    <t>5* Start</t>
  </si>
  <si>
    <t>5* End</t>
  </si>
  <si>
    <t>5* XP Req</t>
  </si>
  <si>
    <t>6* Start</t>
  </si>
  <si>
    <t>6* End</t>
  </si>
  <si>
    <t>6* XP Req</t>
  </si>
  <si>
    <t>Level</t>
  </si>
  <si>
    <t>Ascension</t>
  </si>
  <si>
    <t>Remain 4*</t>
  </si>
  <si>
    <t>Remain 3*</t>
  </si>
  <si>
    <t>Farming Map</t>
  </si>
  <si>
    <t>Energy Requirements</t>
  </si>
  <si>
    <t>Ascension Potion Requirements</t>
  </si>
  <si>
    <t>Affinity Potions</t>
  </si>
  <si>
    <t>Arcane Potions</t>
  </si>
  <si>
    <t>XP Per run Calculations</t>
  </si>
  <si>
    <t>Fusion_XP_Epic4</t>
  </si>
  <si>
    <t>Fusion_XP_Epic5</t>
  </si>
  <si>
    <t>Farming Stage</t>
  </si>
  <si>
    <t>(a) to Complete Fusion</t>
  </si>
  <si>
    <t>(b) ..and 60 the Legendary</t>
  </si>
  <si>
    <t>Collated</t>
  </si>
  <si>
    <t>Stage number</t>
  </si>
  <si>
    <t>4* Start</t>
  </si>
  <si>
    <t>4* End</t>
  </si>
  <si>
    <t>4* XP Req</t>
  </si>
  <si>
    <t>Ave seconds per run</t>
  </si>
  <si>
    <t>Total XP</t>
  </si>
  <si>
    <t>Fusion_Energy_perRun</t>
  </si>
  <si>
    <t>Ave seconds between runs</t>
  </si>
  <si>
    <t>Number of runs</t>
  </si>
  <si>
    <t>Base XP Per run</t>
  </si>
  <si>
    <t>How many are running?</t>
  </si>
  <si>
    <t>Energy Required</t>
  </si>
  <si>
    <t>Multipliers</t>
  </si>
  <si>
    <t>2x</t>
  </si>
  <si>
    <t>How many are food?</t>
  </si>
  <si>
    <r>
      <t>Estimated Cost</t>
    </r>
    <r>
      <rPr>
        <b/>
        <i/>
        <sz val="10"/>
        <color theme="0"/>
        <rFont val="Calibri"/>
        <family val="2"/>
        <scheme val="minor"/>
      </rPr>
      <t xml:space="preserve"> (equivalent to)</t>
    </r>
  </si>
  <si>
    <t>RP</t>
  </si>
  <si>
    <t>XP Boost</t>
  </si>
  <si>
    <t>Off</t>
  </si>
  <si>
    <r>
      <t>XP Brews</t>
    </r>
    <r>
      <rPr>
        <sz val="11"/>
        <color theme="1"/>
        <rFont val="Calibri"/>
        <family val="2"/>
        <scheme val="minor"/>
      </rPr>
      <t xml:space="preserve"> (@17,500XP)</t>
    </r>
  </si>
  <si>
    <t>BP</t>
  </si>
  <si>
    <t>Raid Pass</t>
  </si>
  <si>
    <r>
      <t>Gems</t>
    </r>
    <r>
      <rPr>
        <sz val="11"/>
        <color theme="1"/>
        <rFont val="Calibri"/>
        <family val="2"/>
        <scheme val="minor"/>
      </rPr>
      <t xml:space="preserve"> (@40 per Full)</t>
    </r>
  </si>
  <si>
    <t>Total</t>
  </si>
  <si>
    <t>Fusion_XP_Rare3</t>
  </si>
  <si>
    <t>Fusion_XP_Rare4</t>
  </si>
  <si>
    <t>Lvl 100 Battle Pass</t>
  </si>
  <si>
    <t>Estimated time</t>
  </si>
  <si>
    <t>Multiplied XP per run</t>
  </si>
  <si>
    <t>3* Start</t>
  </si>
  <si>
    <t>3* End</t>
  </si>
  <si>
    <t>3* XP Req</t>
  </si>
  <si>
    <t>Full energy =</t>
  </si>
  <si>
    <t>Fusion_XP_perFood</t>
  </si>
  <si>
    <t>Fusion_XP_perRun</t>
  </si>
  <si>
    <r>
      <t>Calculation Notes:</t>
    </r>
    <r>
      <rPr>
        <sz val="10"/>
        <color theme="1"/>
        <rFont val="Verdana"/>
        <family val="2"/>
      </rPr>
      <t xml:space="preserve"> 2XP (200%), RAID Pass is multiplicative 20% XP against Total XP, Level 100 Battle Pass provides additive 50% XP. </t>
    </r>
    <r>
      <rPr>
        <b/>
        <sz val="10"/>
        <color theme="1"/>
        <rFont val="Verdana"/>
        <family val="2"/>
      </rPr>
      <t>Example:</t>
    </r>
    <r>
      <rPr>
        <sz val="10"/>
        <color theme="1"/>
        <rFont val="Verdana"/>
        <family val="2"/>
      </rPr>
      <t xml:space="preserve"> Brutal 12-3 total base XP 17304. 2XP (+200%), RAID Pass multiplies the total XP (200% x 20% = 40%), Battle Pass adds XP (+50%). Formula is 200% + 40% + 50% = 290% (17304 XP x 290% = 50181 total XP).</t>
    </r>
  </si>
  <si>
    <t>Champion Fusion Progress</t>
  </si>
  <si>
    <t>Fragment Fusion</t>
  </si>
  <si>
    <t>Fragments Available</t>
  </si>
  <si>
    <t>Fragments Attempted</t>
  </si>
  <si>
    <t>Fragments Got</t>
  </si>
  <si>
    <t>1st Fragments</t>
  </si>
  <si>
    <t>2nd Fragments</t>
  </si>
  <si>
    <t>3rd Fragments</t>
  </si>
  <si>
    <t>4th Fragments</t>
  </si>
  <si>
    <t>Tournament</t>
  </si>
  <si>
    <t>Notes:</t>
  </si>
  <si>
    <t>Event/Tournament</t>
  </si>
  <si>
    <t>Start</t>
  </si>
  <si>
    <t>Days</t>
  </si>
  <si>
    <t>Fragments</t>
  </si>
  <si>
    <t>Points</t>
  </si>
  <si>
    <t>Do?</t>
  </si>
  <si>
    <t>- Type only into the blue shaded boxes!</t>
  </si>
  <si>
    <t>Yes</t>
  </si>
  <si>
    <t>Dragon Tournament</t>
  </si>
  <si>
    <t>- Italicised/grey are to be confirmed and are</t>
  </si>
  <si>
    <t>estimated point values based on previous fusions</t>
  </si>
  <si>
    <t>Artifact Enhancement Event I</t>
  </si>
  <si>
    <t>Summon Rush Event</t>
  </si>
  <si>
    <t xml:space="preserve">- Once you know the actual point values, change the </t>
  </si>
  <si>
    <t>Champion Training Tournament</t>
  </si>
  <si>
    <t>data accordingly.</t>
  </si>
  <si>
    <t>Ice Golem Tournament</t>
  </si>
  <si>
    <t>Fire Knight Tournament</t>
  </si>
  <si>
    <t>- The Tournament Fragments column will automatically</t>
  </si>
  <si>
    <t>format for any line that has "Tournament" in the name.</t>
  </si>
  <si>
    <t>Artifact Enhancement Event II</t>
  </si>
  <si>
    <t>Champion Chase Tournament</t>
  </si>
  <si>
    <t>- I very much doubt that the event schedules will</t>
  </si>
  <si>
    <t>ever be automated. I've typed this all in myself, so for</t>
  </si>
  <si>
    <t>Champion Training Event</t>
  </si>
  <si>
    <t>future fusions, its up to you!</t>
  </si>
  <si>
    <t>Spider Tournament</t>
  </si>
  <si>
    <t>Planned changes:</t>
  </si>
  <si>
    <t xml:space="preserve">1. Storage of Fusion history. Once all events are done, </t>
  </si>
  <si>
    <t>Fusion Schedule &amp; Progress</t>
  </si>
  <si>
    <t>you will get a button to "Finish event". That will copy details to a data sheet.</t>
  </si>
  <si>
    <t>End</t>
  </si>
  <si>
    <t>Points Earned</t>
  </si>
  <si>
    <t>% Done</t>
  </si>
  <si>
    <t>Fragments Earned</t>
  </si>
  <si>
    <t>2. The history sheet will be used to create a Dropdown list for entry of event names.</t>
  </si>
  <si>
    <t>3. The history sheet will be used to automatically "estimate"</t>
  </si>
  <si>
    <t>point values, after the user has provided the fragment awards.</t>
  </si>
  <si>
    <t xml:space="preserve">It won't be super smart, it will try to find the same combination </t>
  </si>
  <si>
    <t>in the history for the same level of champ for that event.</t>
  </si>
  <si>
    <t xml:space="preserve">If not found, it will use the most recent same combination </t>
  </si>
  <si>
    <t>from any event. If it still hasn't found something to use…</t>
  </si>
  <si>
    <t>..it will probably do nothing (time will tell)</t>
  </si>
  <si>
    <t>V_Display_Ribbon</t>
  </si>
  <si>
    <t>V_Display_FormulaBar</t>
  </si>
  <si>
    <t>V_Display_WorkbookTabs</t>
  </si>
  <si>
    <t>V_Display_Headings</t>
  </si>
  <si>
    <t>V_Display_Gridlines</t>
  </si>
  <si>
    <t>V_CF_Ascension_Clear4</t>
  </si>
  <si>
    <t>V_CF_Ascension_Clear5</t>
  </si>
  <si>
    <t>V_Fusion_Dropdown_Rare</t>
  </si>
  <si>
    <t>V_Fustion_Dropdown_Epic</t>
  </si>
  <si>
    <t>V_XP_1Star</t>
  </si>
  <si>
    <t>V_XP_2Star</t>
  </si>
  <si>
    <t>V_XP_3Star</t>
  </si>
  <si>
    <t>V_XP_4Star</t>
  </si>
  <si>
    <t>V_XP_5Star</t>
  </si>
  <si>
    <t>V_XP_6Star</t>
  </si>
  <si>
    <t>V_Energy_Map</t>
  </si>
  <si>
    <t>V_Energy_Regular</t>
  </si>
  <si>
    <t>V_Energy_Boss</t>
  </si>
  <si>
    <t>V_Farming_Level</t>
  </si>
  <si>
    <t>V_XP_Normal</t>
  </si>
  <si>
    <t>V_XP_Hard</t>
  </si>
  <si>
    <t>V_XP_Brutal</t>
  </si>
  <si>
    <t>V_XP_Nightmare</t>
  </si>
  <si>
    <t>V_Silver_Normal</t>
  </si>
  <si>
    <t>V_Silver_Hard</t>
  </si>
  <si>
    <t>V_Silver_Brutal</t>
  </si>
  <si>
    <t>V_Silver_Nightmare</t>
  </si>
  <si>
    <t>Hybrid Fusion</t>
  </si>
  <si>
    <t>Stage 1 - Fragment Fusion</t>
  </si>
  <si>
    <t>Qty</t>
  </si>
  <si>
    <t>Champion</t>
  </si>
  <si>
    <t>Tournament Bonuses</t>
  </si>
  <si>
    <t>Skimfos</t>
  </si>
  <si>
    <t>Mordecai</t>
  </si>
  <si>
    <t>Fenshi</t>
  </si>
  <si>
    <t>Giscard</t>
  </si>
  <si>
    <t>Hybrid Fusion Data</t>
  </si>
  <si>
    <t>HF_EC_Abbrev1</t>
  </si>
  <si>
    <t>HF_EC_Abbrev2</t>
  </si>
  <si>
    <t>HF_EC_Abbrev3</t>
  </si>
  <si>
    <t>HF_EC_Abbrev4</t>
  </si>
  <si>
    <t>Qty2</t>
  </si>
  <si>
    <t>Champion3</t>
  </si>
  <si>
    <t>Points4</t>
  </si>
  <si>
    <t>Qty5</t>
  </si>
  <si>
    <t>Champion6</t>
  </si>
  <si>
    <t>Event</t>
  </si>
  <si>
    <t>Qty1</t>
  </si>
  <si>
    <t>Champion1</t>
  </si>
  <si>
    <t>Points1</t>
  </si>
  <si>
    <t>Champion2</t>
  </si>
  <si>
    <t>Points2</t>
  </si>
  <si>
    <t>Qty3</t>
  </si>
  <si>
    <t>Points3</t>
  </si>
  <si>
    <t>Qty4</t>
  </si>
  <si>
    <t>Champion4</t>
  </si>
  <si>
    <t>Champion5</t>
  </si>
  <si>
    <t>Qty6</t>
  </si>
  <si>
    <t>Fusion_Event_List</t>
  </si>
  <si>
    <t>Fusion Event List</t>
  </si>
  <si>
    <r>
      <t>XP Brews</t>
    </r>
    <r>
      <rPr>
        <sz val="11"/>
        <color theme="1"/>
        <rFont val="Calibri"/>
        <family val="2"/>
        <scheme val="minor"/>
      </rPr>
      <t xml:space="preserve"> (@18,750XP)</t>
    </r>
  </si>
  <si>
    <t>HF_XP_Epic4</t>
  </si>
  <si>
    <t>HF_XP_Epic5</t>
  </si>
  <si>
    <t>HF_Energy_perRun</t>
  </si>
  <si>
    <t>HF_XP_perFood</t>
  </si>
  <si>
    <t>HF_XP_perRun</t>
  </si>
  <si>
    <t>HF_XP_Legend5</t>
  </si>
  <si>
    <t>HF_XP_Legend6</t>
  </si>
  <si>
    <t>Stage 2: Champion Fusion</t>
  </si>
  <si>
    <t xml:space="preserve">Frgmnts </t>
  </si>
  <si>
    <t>Dungeon Divers Event I</t>
  </si>
  <si>
    <t>Dungeon Divers Event II</t>
  </si>
  <si>
    <t>Artifact Enhancement Event III</t>
  </si>
  <si>
    <t>Classic Arena Takedown Tournament I</t>
  </si>
  <si>
    <t>Classic Arena Takedown Tournament II</t>
  </si>
  <si>
    <t>Giscard the Sigiled</t>
  </si>
  <si>
    <t>Skimfos the Consumed</t>
  </si>
  <si>
    <t>ffff</t>
  </si>
  <si>
    <t>force</t>
  </si>
  <si>
    <t>Underpriest Brogni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</si>
</sst>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ddd\ dd/m"/>
    <numFmt numFmtId="166" formatCode="d"/>
    <numFmt numFmtId="167" formatCode="##,###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Wide Lati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Wide Latin"/>
      <family val="1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20"/>
      <color theme="0"/>
      <name val="Calibri"/>
      <family val="2"/>
    </font>
    <font>
      <sz val="10"/>
      <name val="Calibri"/>
      <family val="2"/>
    </font>
    <font>
      <sz val="16"/>
      <color theme="0"/>
      <name val="Calibri"/>
      <family val="2"/>
    </font>
    <font>
      <u/>
      <sz val="10"/>
      <color indexed="12"/>
      <name val="Arial"/>
      <family val="2"/>
    </font>
    <font>
      <i/>
      <sz val="8"/>
      <color theme="1" tint="0.34998626667073579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i/>
      <sz val="10"/>
      <color theme="1" tint="0.34998626667073579"/>
      <name val="Calibri"/>
      <family val="2"/>
    </font>
    <font>
      <b/>
      <sz val="8"/>
      <name val="Calibri"/>
      <family val="2"/>
    </font>
    <font>
      <i/>
      <sz val="8"/>
      <name val="Calibri"/>
      <family val="2"/>
    </font>
    <font>
      <b/>
      <sz val="14"/>
      <color theme="0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sz val="10"/>
      <color rgb="FF444444"/>
      <name val="Calibri"/>
      <family val="2"/>
    </font>
    <font>
      <sz val="10"/>
      <color rgb="FF000000"/>
      <name val="Calibri"/>
      <family val="2"/>
    </font>
    <font>
      <sz val="9"/>
      <name val="Calibri"/>
      <family val="2"/>
    </font>
    <font>
      <b/>
      <sz val="16"/>
      <color rgb="FF0070C0"/>
      <name val="Calibri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0070C0"/>
      <name val="Calibri"/>
      <family val="2"/>
    </font>
    <font>
      <b/>
      <sz val="11"/>
      <color rgb="FF0066CC"/>
      <name val="Calibri"/>
      <family val="2"/>
    </font>
    <font>
      <sz val="11"/>
      <color rgb="FF000000"/>
      <name val="Calibri"/>
      <family val="2"/>
    </font>
    <font>
      <b/>
      <sz val="14"/>
      <color rgb="FF00B050"/>
      <name val="Calibri"/>
      <family val="2"/>
    </font>
    <font>
      <b/>
      <sz val="12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0" fontId="33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651">
    <xf numFmtId="0" fontId="0" fillId="0" borderId="0" xfId="0"/>
    <xf numFmtId="0" fontId="3" fillId="0" borderId="1" xfId="0" applyFont="1" applyBorder="1"/>
    <xf numFmtId="0" fontId="4" fillId="2" borderId="0" xfId="0" applyFont="1" applyFill="1"/>
    <xf numFmtId="0" fontId="0" fillId="0" borderId="0" xfId="0" quotePrefix="1"/>
    <xf numFmtId="0" fontId="4" fillId="2" borderId="0" xfId="0" applyFont="1" applyFill="1" applyAlignment="1">
      <alignment horizontal="center"/>
    </xf>
    <xf numFmtId="0" fontId="4" fillId="3" borderId="2" xfId="0" applyFont="1" applyFill="1" applyBorder="1"/>
    <xf numFmtId="0" fontId="0" fillId="0" borderId="0" xfId="0" applyAlignment="1">
      <alignment horizontal="center"/>
    </xf>
    <xf numFmtId="0" fontId="4" fillId="4" borderId="3" xfId="0" applyFont="1" applyFill="1" applyBorder="1"/>
    <xf numFmtId="0" fontId="3" fillId="0" borderId="0" xfId="0" applyFont="1"/>
    <xf numFmtId="0" fontId="3" fillId="6" borderId="1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35" xfId="0" quotePrefix="1" applyNumberFormat="1" applyBorder="1" applyAlignment="1">
      <alignment horizontal="center"/>
    </xf>
    <xf numFmtId="1" fontId="5" fillId="0" borderId="36" xfId="0" applyNumberFormat="1" applyFont="1" applyBorder="1" applyAlignment="1">
      <alignment horizontal="center" vertical="top" wrapText="1"/>
    </xf>
    <xf numFmtId="1" fontId="5" fillId="0" borderId="37" xfId="0" applyNumberFormat="1" applyFont="1" applyBorder="1" applyAlignment="1">
      <alignment horizontal="center" vertical="top" wrapText="1"/>
    </xf>
    <xf numFmtId="1" fontId="0" fillId="0" borderId="0" xfId="0" applyNumberForma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quotePrefix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/>
    </xf>
    <xf numFmtId="0" fontId="0" fillId="0" borderId="50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left" vertical="center"/>
    </xf>
    <xf numFmtId="49" fontId="0" fillId="0" borderId="42" xfId="0" quotePrefix="1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0" fillId="0" borderId="54" xfId="0" applyBorder="1"/>
    <xf numFmtId="0" fontId="0" fillId="0" borderId="55" xfId="0" applyBorder="1" applyAlignment="1">
      <alignment horizontal="center"/>
    </xf>
    <xf numFmtId="0" fontId="0" fillId="0" borderId="45" xfId="0" applyBorder="1"/>
    <xf numFmtId="49" fontId="0" fillId="0" borderId="56" xfId="0" quotePrefix="1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43" xfId="0" quotePrefix="1" applyNumberFormat="1" applyBorder="1" applyAlignment="1">
      <alignment horizontal="center"/>
    </xf>
    <xf numFmtId="1" fontId="5" fillId="0" borderId="44" xfId="0" applyNumberFormat="1" applyFont="1" applyBorder="1" applyAlignment="1">
      <alignment horizontal="center" vertical="top" wrapText="1"/>
    </xf>
    <xf numFmtId="1" fontId="5" fillId="0" borderId="45" xfId="0" applyNumberFormat="1" applyFont="1" applyBorder="1" applyAlignment="1">
      <alignment horizontal="center" vertical="top" wrapText="1"/>
    </xf>
    <xf numFmtId="1" fontId="0" fillId="0" borderId="4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0" xfId="0" applyFont="1"/>
    <xf numFmtId="0" fontId="10" fillId="0" borderId="0" xfId="0" applyFont="1" applyAlignment="1">
      <alignment vertical="center"/>
    </xf>
    <xf numFmtId="0" fontId="7" fillId="5" borderId="47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14" fillId="10" borderId="37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vertical="center"/>
    </xf>
    <xf numFmtId="0" fontId="15" fillId="7" borderId="43" xfId="0" applyFont="1" applyFill="1" applyBorder="1" applyAlignment="1">
      <alignment horizontal="center" vertical="center"/>
    </xf>
    <xf numFmtId="0" fontId="16" fillId="1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Border="1" applyAlignment="1">
      <alignment vertical="center"/>
    </xf>
    <xf numFmtId="0" fontId="7" fillId="5" borderId="64" xfId="0" applyFont="1" applyFill="1" applyBorder="1" applyAlignment="1">
      <alignment horizontal="center" vertical="center"/>
    </xf>
    <xf numFmtId="0" fontId="7" fillId="5" borderId="65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21" fillId="2" borderId="34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vertical="center"/>
    </xf>
    <xf numFmtId="0" fontId="22" fillId="5" borderId="22" xfId="0" applyFont="1" applyFill="1" applyBorder="1" applyAlignment="1">
      <alignment horizontal="center" vertical="center" wrapText="1"/>
    </xf>
    <xf numFmtId="0" fontId="22" fillId="5" borderId="69" xfId="0" applyFont="1" applyFill="1" applyBorder="1" applyAlignment="1">
      <alignment horizontal="center" vertical="center" wrapText="1"/>
    </xf>
    <xf numFmtId="0" fontId="22" fillId="5" borderId="70" xfId="0" applyFont="1" applyFill="1" applyBorder="1" applyAlignment="1">
      <alignment horizontal="center" vertical="center" wrapText="1"/>
    </xf>
    <xf numFmtId="0" fontId="22" fillId="5" borderId="71" xfId="0" applyFont="1" applyFill="1" applyBorder="1" applyAlignment="1">
      <alignment horizontal="center" vertical="center" wrapText="1"/>
    </xf>
    <xf numFmtId="0" fontId="22" fillId="5" borderId="7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/>
    </xf>
    <xf numFmtId="0" fontId="3" fillId="13" borderId="3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9" fillId="8" borderId="22" xfId="0" applyFont="1" applyFill="1" applyBorder="1" applyAlignment="1" applyProtection="1">
      <alignment horizontal="center" vertical="center"/>
      <protection locked="0"/>
    </xf>
    <xf numFmtId="0" fontId="9" fillId="14" borderId="75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37" xfId="0" applyBorder="1" applyAlignment="1">
      <alignment vertical="center"/>
    </xf>
    <xf numFmtId="0" fontId="0" fillId="0" borderId="42" xfId="0" applyBorder="1" applyAlignment="1">
      <alignment horizontal="center" vertical="center"/>
    </xf>
    <xf numFmtId="0" fontId="9" fillId="0" borderId="39" xfId="0" applyFont="1" applyBorder="1" applyAlignment="1">
      <alignment vertical="center"/>
    </xf>
    <xf numFmtId="0" fontId="9" fillId="0" borderId="80" xfId="0" applyFont="1" applyBorder="1" applyAlignment="1">
      <alignment vertical="center"/>
    </xf>
    <xf numFmtId="0" fontId="0" fillId="0" borderId="80" xfId="0" applyBorder="1"/>
    <xf numFmtId="0" fontId="9" fillId="0" borderId="8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45" xfId="0" quotePrefix="1" applyBorder="1" applyAlignment="1">
      <alignment vertical="center"/>
    </xf>
    <xf numFmtId="0" fontId="24" fillId="0" borderId="0" xfId="0" applyFont="1" applyAlignment="1">
      <alignment vertical="center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7" xfId="0" applyBorder="1"/>
    <xf numFmtId="0" fontId="3" fillId="0" borderId="24" xfId="0" applyFont="1" applyBorder="1" applyAlignment="1">
      <alignment vertical="center"/>
    </xf>
    <xf numFmtId="9" fontId="0" fillId="0" borderId="25" xfId="2" applyFont="1" applyBorder="1" applyAlignment="1" applyProtection="1">
      <alignment vertical="center"/>
    </xf>
    <xf numFmtId="0" fontId="9" fillId="14" borderId="8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36" xfId="0" applyFont="1" applyBorder="1" applyAlignment="1">
      <alignment vertical="center"/>
    </xf>
    <xf numFmtId="9" fontId="0" fillId="0" borderId="37" xfId="2" applyFont="1" applyBorder="1" applyAlignment="1" applyProtection="1">
      <alignment vertical="center"/>
    </xf>
    <xf numFmtId="0" fontId="0" fillId="0" borderId="56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164" fontId="9" fillId="0" borderId="74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3" fillId="0" borderId="44" xfId="0" applyFont="1" applyBorder="1" applyAlignment="1">
      <alignment vertical="center"/>
    </xf>
    <xf numFmtId="9" fontId="0" fillId="0" borderId="45" xfId="2" applyFont="1" applyBorder="1" applyAlignment="1" applyProtection="1">
      <alignment vertical="center"/>
    </xf>
    <xf numFmtId="164" fontId="9" fillId="0" borderId="18" xfId="0" applyNumberFormat="1" applyFont="1" applyBorder="1" applyAlignment="1">
      <alignment vertical="center"/>
    </xf>
    <xf numFmtId="9" fontId="0" fillId="0" borderId="29" xfId="0" applyNumberFormat="1" applyBorder="1" applyAlignment="1">
      <alignment vertical="center"/>
    </xf>
    <xf numFmtId="0" fontId="2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13" borderId="4" xfId="0" applyFont="1" applyFill="1" applyBorder="1"/>
    <xf numFmtId="0" fontId="22" fillId="5" borderId="4" xfId="0" applyFont="1" applyFill="1" applyBorder="1" applyAlignment="1">
      <alignment horizontal="center" vertical="center" wrapText="1"/>
    </xf>
    <xf numFmtId="0" fontId="22" fillId="5" borderId="66" xfId="0" applyFont="1" applyFill="1" applyBorder="1" applyAlignment="1">
      <alignment horizontal="center" vertical="center" wrapText="1"/>
    </xf>
    <xf numFmtId="0" fontId="22" fillId="5" borderId="67" xfId="0" applyFont="1" applyFill="1" applyBorder="1" applyAlignment="1">
      <alignment horizontal="center" vertical="center" wrapText="1"/>
    </xf>
    <xf numFmtId="0" fontId="22" fillId="5" borderId="68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/>
    <xf numFmtId="0" fontId="0" fillId="0" borderId="52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29" xfId="0" applyBorder="1"/>
    <xf numFmtId="0" fontId="34" fillId="0" borderId="0" xfId="4" applyFont="1" applyFill="1" applyBorder="1" applyAlignment="1" applyProtection="1">
      <alignment horizontal="left" vertical="center"/>
    </xf>
    <xf numFmtId="0" fontId="38" fillId="0" borderId="0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3" fillId="0" borderId="0" xfId="0" applyFont="1" applyAlignment="1">
      <alignment horizontal="left"/>
    </xf>
    <xf numFmtId="0" fontId="39" fillId="5" borderId="28" xfId="3" applyFont="1" applyFill="1" applyBorder="1" applyAlignment="1">
      <alignment horizontal="left" vertical="center"/>
    </xf>
    <xf numFmtId="0" fontId="39" fillId="5" borderId="28" xfId="3" applyFont="1" applyFill="1" applyBorder="1" applyAlignment="1">
      <alignment horizontal="center" vertical="center"/>
    </xf>
    <xf numFmtId="0" fontId="39" fillId="0" borderId="0" xfId="3" applyFont="1" applyFill="1" applyBorder="1" applyAlignment="1">
      <alignment horizontal="center" vertical="center"/>
    </xf>
    <xf numFmtId="14" fontId="39" fillId="5" borderId="28" xfId="3" applyNumberFormat="1" applyFont="1" applyFill="1" applyBorder="1" applyAlignment="1">
      <alignment horizontal="center" vertical="center"/>
    </xf>
    <xf numFmtId="14" fontId="39" fillId="5" borderId="27" xfId="3" applyNumberFormat="1" applyFont="1" applyFill="1" applyBorder="1" applyAlignment="1">
      <alignment horizontal="center" vertical="center" wrapText="1"/>
    </xf>
    <xf numFmtId="14" fontId="39" fillId="0" borderId="0" xfId="3" applyNumberFormat="1" applyFont="1" applyFill="1" applyBorder="1" applyAlignment="1">
      <alignment horizontal="center" vertical="center"/>
    </xf>
    <xf numFmtId="14" fontId="39" fillId="0" borderId="0" xfId="3" applyNumberFormat="1" applyFont="1" applyFill="1" applyBorder="1" applyAlignment="1">
      <alignment horizontal="center" vertical="center" wrapText="1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9" fillId="0" borderId="0" xfId="3" applyFont="1" applyFill="1" applyBorder="1" applyAlignment="1">
      <alignment horizontal="left" vertical="center"/>
    </xf>
    <xf numFmtId="0" fontId="31" fillId="0" borderId="0" xfId="3" applyFont="1" applyProtection="1"/>
    <xf numFmtId="0" fontId="32" fillId="0" borderId="0" xfId="3" applyFont="1" applyAlignment="1" applyProtection="1">
      <alignment horizontal="center" vertical="center"/>
    </xf>
    <xf numFmtId="0" fontId="47" fillId="0" borderId="73" xfId="3" applyFont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horizontal="center" vertical="center"/>
    </xf>
    <xf numFmtId="0" fontId="36" fillId="0" borderId="0" xfId="3" quotePrefix="1" applyFont="1" applyFill="1" applyBorder="1" applyAlignment="1" applyProtection="1">
      <alignment vertical="center" wrapText="1"/>
    </xf>
    <xf numFmtId="0" fontId="54" fillId="0" borderId="36" xfId="3" applyFont="1" applyBorder="1" applyAlignment="1" applyProtection="1">
      <alignment horizontal="left" vertical="center" wrapText="1"/>
    </xf>
    <xf numFmtId="0" fontId="3" fillId="0" borderId="36" xfId="0" applyFont="1" applyBorder="1" applyAlignment="1" applyProtection="1">
      <alignment horizontal="center" vertical="center"/>
    </xf>
    <xf numFmtId="0" fontId="35" fillId="0" borderId="0" xfId="3" applyFont="1" applyBorder="1" applyAlignment="1" applyProtection="1">
      <alignment horizontal="center" vertical="center"/>
    </xf>
    <xf numFmtId="0" fontId="35" fillId="0" borderId="0" xfId="3" applyFont="1" applyFill="1" applyBorder="1" applyAlignment="1" applyProtection="1">
      <alignment horizontal="center" vertical="center"/>
    </xf>
    <xf numFmtId="0" fontId="54" fillId="0" borderId="36" xfId="3" applyFont="1" applyBorder="1" applyAlignment="1" applyProtection="1">
      <alignment horizontal="left" vertical="center"/>
    </xf>
    <xf numFmtId="0" fontId="36" fillId="0" borderId="0" xfId="3" applyFont="1" applyAlignment="1" applyProtection="1">
      <alignment horizontal="center" vertical="center"/>
    </xf>
    <xf numFmtId="0" fontId="37" fillId="0" borderId="0" xfId="3" applyFont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left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 wrapText="1"/>
    </xf>
    <xf numFmtId="0" fontId="31" fillId="0" borderId="0" xfId="3" applyFont="1" applyBorder="1" applyProtection="1"/>
    <xf numFmtId="0" fontId="31" fillId="0" borderId="36" xfId="3" applyFont="1" applyFill="1" applyBorder="1" applyAlignment="1" applyProtection="1">
      <alignment vertical="center" wrapText="1"/>
    </xf>
    <xf numFmtId="165" fontId="31" fillId="0" borderId="36" xfId="3" applyNumberFormat="1" applyFont="1" applyFill="1" applyBorder="1" applyAlignment="1" applyProtection="1">
      <alignment horizontal="center" vertical="center"/>
    </xf>
    <xf numFmtId="1" fontId="31" fillId="0" borderId="36" xfId="3" applyNumberFormat="1" applyFont="1" applyFill="1" applyBorder="1" applyAlignment="1" applyProtection="1">
      <alignment horizontal="center" vertical="center"/>
    </xf>
    <xf numFmtId="0" fontId="31" fillId="0" borderId="28" xfId="3" applyFont="1" applyFill="1" applyBorder="1" applyAlignment="1" applyProtection="1">
      <alignment horizontal="center" vertical="center"/>
    </xf>
    <xf numFmtId="0" fontId="31" fillId="0" borderId="0" xfId="3" applyFont="1" applyAlignment="1" applyProtection="1">
      <alignment horizontal="center"/>
    </xf>
    <xf numFmtId="0" fontId="31" fillId="0" borderId="0" xfId="3" applyFont="1" applyFill="1" applyAlignment="1" applyProtection="1">
      <alignment horizontal="center"/>
    </xf>
    <xf numFmtId="0" fontId="31" fillId="0" borderId="36" xfId="3" applyFont="1" applyFill="1" applyBorder="1" applyAlignment="1" applyProtection="1">
      <alignment vertical="center"/>
    </xf>
    <xf numFmtId="0" fontId="31" fillId="0" borderId="0" xfId="3" applyFont="1" applyAlignment="1" applyProtection="1">
      <alignment vertical="center" wrapText="1"/>
    </xf>
    <xf numFmtId="166" fontId="42" fillId="0" borderId="0" xfId="3" applyNumberFormat="1" applyFont="1" applyBorder="1" applyAlignment="1" applyProtection="1">
      <alignment horizontal="center" shrinkToFit="1"/>
    </xf>
    <xf numFmtId="0" fontId="42" fillId="0" borderId="0" xfId="3" applyFont="1" applyBorder="1" applyAlignment="1" applyProtection="1">
      <alignment horizontal="center" vertical="center" shrinkToFit="1"/>
    </xf>
    <xf numFmtId="0" fontId="36" fillId="5" borderId="35" xfId="3" applyFont="1" applyFill="1" applyBorder="1" applyAlignment="1" applyProtection="1">
      <alignment horizontal="center" vertical="center"/>
    </xf>
    <xf numFmtId="0" fontId="36" fillId="5" borderId="36" xfId="3" applyFont="1" applyFill="1" applyBorder="1" applyAlignment="1" applyProtection="1">
      <alignment horizontal="center" vertical="center"/>
    </xf>
    <xf numFmtId="0" fontId="36" fillId="5" borderId="37" xfId="3" applyFont="1" applyFill="1" applyBorder="1" applyAlignment="1" applyProtection="1">
      <alignment horizontal="center" vertical="center"/>
    </xf>
    <xf numFmtId="165" fontId="31" fillId="0" borderId="36" xfId="3" applyNumberFormat="1" applyFont="1" applyBorder="1" applyAlignment="1" applyProtection="1">
      <alignment horizontal="center" vertical="center"/>
    </xf>
    <xf numFmtId="0" fontId="31" fillId="0" borderId="92" xfId="3" applyFont="1" applyBorder="1" applyAlignment="1" applyProtection="1">
      <alignment horizontal="left" vertical="center"/>
    </xf>
    <xf numFmtId="0" fontId="31" fillId="0" borderId="92" xfId="3" applyFont="1" applyBorder="1" applyAlignment="1" applyProtection="1">
      <alignment vertical="center"/>
    </xf>
    <xf numFmtId="0" fontId="31" fillId="0" borderId="0" xfId="3" applyFont="1" applyBorder="1" applyAlignment="1" applyProtection="1">
      <alignment vertical="center"/>
    </xf>
    <xf numFmtId="0" fontId="31" fillId="0" borderId="35" xfId="3" applyFont="1" applyBorder="1" applyAlignment="1" applyProtection="1">
      <alignment horizontal="center" vertical="center"/>
    </xf>
    <xf numFmtId="0" fontId="31" fillId="0" borderId="36" xfId="3" applyFont="1" applyBorder="1" applyAlignment="1" applyProtection="1">
      <alignment horizontal="center" vertical="center"/>
    </xf>
    <xf numFmtId="0" fontId="31" fillId="0" borderId="37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/>
    </xf>
    <xf numFmtId="0" fontId="46" fillId="0" borderId="0" xfId="3" applyFont="1" applyBorder="1" applyProtection="1"/>
    <xf numFmtId="0" fontId="31" fillId="0" borderId="43" xfId="3" applyFont="1" applyBorder="1" applyAlignment="1" applyProtection="1">
      <alignment horizontal="center" vertical="center"/>
    </xf>
    <xf numFmtId="0" fontId="31" fillId="0" borderId="44" xfId="3" applyFont="1" applyBorder="1" applyAlignment="1" applyProtection="1">
      <alignment horizontal="center" vertical="center"/>
    </xf>
    <xf numFmtId="0" fontId="31" fillId="0" borderId="45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 wrapText="1"/>
    </xf>
    <xf numFmtId="0" fontId="31" fillId="0" borderId="0" xfId="3" applyFont="1" applyBorder="1" applyAlignment="1" applyProtection="1">
      <alignment horizontal="left" vertical="center"/>
    </xf>
    <xf numFmtId="0" fontId="46" fillId="0" borderId="0" xfId="3" applyFont="1" applyAlignment="1" applyProtection="1">
      <alignment vertical="center" wrapText="1"/>
    </xf>
    <xf numFmtId="0" fontId="46" fillId="0" borderId="0" xfId="3" applyFont="1" applyProtection="1"/>
    <xf numFmtId="0" fontId="0" fillId="0" borderId="0" xfId="0" applyProtection="1"/>
    <xf numFmtId="0" fontId="6" fillId="0" borderId="0" xfId="0" applyFont="1" applyAlignment="1" applyProtection="1">
      <alignment horizontal="center" vertical="center" wrapText="1"/>
    </xf>
    <xf numFmtId="0" fontId="4" fillId="2" borderId="0" xfId="0" applyFont="1" applyFill="1" applyProtection="1"/>
    <xf numFmtId="0" fontId="3" fillId="0" borderId="0" xfId="0" applyFont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5" xfId="0" applyBorder="1" applyAlignment="1" applyProtection="1">
      <alignment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4" fillId="0" borderId="0" xfId="0" applyFont="1" applyProtection="1"/>
    <xf numFmtId="0" fontId="10" fillId="0" borderId="0" xfId="0" applyFont="1" applyAlignment="1" applyProtection="1">
      <alignment vertical="center"/>
    </xf>
    <xf numFmtId="0" fontId="7" fillId="5" borderId="47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48" xfId="0" applyFont="1" applyFill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0" xfId="0" applyFont="1" applyProtection="1"/>
    <xf numFmtId="0" fontId="1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21" fillId="2" borderId="34" xfId="0" applyFont="1" applyFill="1" applyBorder="1" applyAlignment="1" applyProtection="1">
      <alignment horizontal="center" vertical="center" wrapText="1"/>
    </xf>
    <xf numFmtId="0" fontId="21" fillId="2" borderId="1" xfId="0" applyFont="1" applyFill="1" applyBorder="1" applyAlignment="1" applyProtection="1">
      <alignment horizontal="center" vertical="center" wrapText="1"/>
    </xf>
    <xf numFmtId="0" fontId="21" fillId="2" borderId="6" xfId="0" applyFont="1" applyFill="1" applyBorder="1" applyAlignment="1" applyProtection="1">
      <alignment horizontal="center" vertical="center" wrapText="1"/>
    </xf>
    <xf numFmtId="0" fontId="14" fillId="0" borderId="0" xfId="0" applyFont="1" applyAlignment="1" applyProtection="1">
      <alignment vertical="center"/>
    </xf>
    <xf numFmtId="0" fontId="2" fillId="12" borderId="4" xfId="0" applyFont="1" applyFill="1" applyBorder="1" applyAlignment="1" applyProtection="1">
      <alignment horizontal="center" vertical="center"/>
    </xf>
    <xf numFmtId="0" fontId="9" fillId="14" borderId="75" xfId="0" applyFont="1" applyFill="1" applyBorder="1" applyAlignment="1" applyProtection="1">
      <alignment horizontal="center" vertical="center"/>
    </xf>
    <xf numFmtId="0" fontId="23" fillId="0" borderId="42" xfId="0" applyFont="1" applyBorder="1" applyAlignment="1" applyProtection="1">
      <alignment horizontal="center" vertical="center"/>
    </xf>
    <xf numFmtId="0" fontId="23" fillId="0" borderId="76" xfId="0" applyFont="1" applyBorder="1" applyAlignment="1" applyProtection="1">
      <alignment horizontal="center" vertical="center"/>
    </xf>
    <xf numFmtId="0" fontId="3" fillId="13" borderId="22" xfId="0" applyFont="1" applyFill="1" applyBorder="1" applyAlignment="1" applyProtection="1">
      <alignment vertical="center"/>
    </xf>
    <xf numFmtId="0" fontId="22" fillId="5" borderId="22" xfId="0" applyFont="1" applyFill="1" applyBorder="1" applyAlignment="1" applyProtection="1">
      <alignment horizontal="center" vertical="center" wrapText="1"/>
    </xf>
    <xf numFmtId="0" fontId="22" fillId="5" borderId="69" xfId="0" applyFont="1" applyFill="1" applyBorder="1" applyAlignment="1" applyProtection="1">
      <alignment horizontal="center" vertical="center" wrapText="1"/>
    </xf>
    <xf numFmtId="0" fontId="22" fillId="5" borderId="70" xfId="0" applyFont="1" applyFill="1" applyBorder="1" applyAlignment="1" applyProtection="1">
      <alignment horizontal="center" vertical="center" wrapText="1"/>
    </xf>
    <xf numFmtId="0" fontId="22" fillId="5" borderId="71" xfId="0" applyFont="1" applyFill="1" applyBorder="1" applyAlignment="1" applyProtection="1">
      <alignment horizontal="center" vertical="center" wrapText="1"/>
    </xf>
    <xf numFmtId="0" fontId="22" fillId="5" borderId="72" xfId="0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vertical="center"/>
    </xf>
    <xf numFmtId="0" fontId="3" fillId="13" borderId="34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vertical="center"/>
    </xf>
    <xf numFmtId="0" fontId="9" fillId="0" borderId="80" xfId="0" applyFont="1" applyBorder="1" applyAlignment="1" applyProtection="1">
      <alignment vertical="center"/>
    </xf>
    <xf numFmtId="0" fontId="0" fillId="0" borderId="80" xfId="0" applyBorder="1" applyProtection="1"/>
    <xf numFmtId="0" fontId="9" fillId="0" borderId="81" xfId="0" applyFont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77" xfId="0" applyBorder="1" applyAlignment="1" applyProtection="1">
      <alignment horizontal="center"/>
    </xf>
    <xf numFmtId="0" fontId="0" fillId="0" borderId="78" xfId="0" applyBorder="1" applyAlignment="1" applyProtection="1">
      <alignment horizontal="center"/>
    </xf>
    <xf numFmtId="0" fontId="0" fillId="0" borderId="79" xfId="0" applyBorder="1" applyAlignment="1" applyProtection="1">
      <alignment horizontal="center"/>
    </xf>
    <xf numFmtId="0" fontId="0" fillId="0" borderId="37" xfId="0" applyBorder="1" applyAlignment="1" applyProtection="1">
      <alignment vertical="center"/>
    </xf>
    <xf numFmtId="0" fontId="0" fillId="0" borderId="42" xfId="0" applyBorder="1" applyAlignment="1" applyProtection="1">
      <alignment horizontal="center" vertical="center"/>
    </xf>
    <xf numFmtId="0" fontId="24" fillId="0" borderId="0" xfId="0" applyFont="1" applyAlignment="1" applyProtection="1">
      <alignment vertical="center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0" fillId="0" borderId="17" xfId="0" applyBorder="1" applyProtection="1"/>
    <xf numFmtId="0" fontId="0" fillId="0" borderId="39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/>
    </xf>
    <xf numFmtId="0" fontId="0" fillId="0" borderId="82" xfId="0" applyBorder="1" applyAlignment="1" applyProtection="1">
      <alignment horizontal="center"/>
    </xf>
    <xf numFmtId="0" fontId="0" fillId="0" borderId="83" xfId="0" applyBorder="1" applyAlignment="1" applyProtection="1">
      <alignment horizontal="center"/>
    </xf>
    <xf numFmtId="0" fontId="0" fillId="0" borderId="84" xfId="0" applyBorder="1" applyAlignment="1" applyProtection="1">
      <alignment horizontal="center"/>
    </xf>
    <xf numFmtId="0" fontId="0" fillId="0" borderId="45" xfId="0" quotePrefix="1" applyBorder="1" applyAlignment="1" applyProtection="1">
      <alignment vertical="center"/>
    </xf>
    <xf numFmtId="0" fontId="9" fillId="14" borderId="85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vertical="center"/>
    </xf>
    <xf numFmtId="164" fontId="9" fillId="0" borderId="74" xfId="0" applyNumberFormat="1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23" fillId="0" borderId="56" xfId="0" applyFont="1" applyBorder="1" applyAlignment="1" applyProtection="1">
      <alignment horizontal="center" vertical="center"/>
    </xf>
    <xf numFmtId="0" fontId="23" fillId="0" borderId="89" xfId="0" applyFont="1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0" fillId="0" borderId="86" xfId="0" applyBorder="1" applyAlignment="1" applyProtection="1">
      <alignment horizontal="center"/>
    </xf>
    <xf numFmtId="0" fontId="0" fillId="0" borderId="87" xfId="0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3" fillId="0" borderId="36" xfId="0" applyFont="1" applyBorder="1" applyAlignment="1" applyProtection="1">
      <alignment vertical="center"/>
    </xf>
    <xf numFmtId="0" fontId="0" fillId="0" borderId="56" xfId="0" applyBorder="1" applyAlignment="1" applyProtection="1">
      <alignment horizontal="center" vertical="center"/>
    </xf>
    <xf numFmtId="0" fontId="0" fillId="0" borderId="45" xfId="0" applyBorder="1" applyAlignment="1" applyProtection="1">
      <alignment vertical="center"/>
    </xf>
    <xf numFmtId="164" fontId="9" fillId="0" borderId="18" xfId="0" applyNumberFormat="1" applyFont="1" applyBorder="1" applyAlignment="1" applyProtection="1">
      <alignment vertical="center"/>
    </xf>
    <xf numFmtId="0" fontId="3" fillId="0" borderId="44" xfId="0" applyFont="1" applyBorder="1" applyAlignment="1" applyProtection="1">
      <alignment vertical="center"/>
    </xf>
    <xf numFmtId="9" fontId="0" fillId="0" borderId="29" xfId="0" applyNumberFormat="1" applyBorder="1" applyAlignment="1" applyProtection="1">
      <alignment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3" applyFont="1" applyAlignment="1" applyProtection="1">
      <alignment horizontal="center"/>
      <protection locked="0"/>
    </xf>
    <xf numFmtId="0" fontId="31" fillId="16" borderId="28" xfId="3" applyFont="1" applyFill="1" applyBorder="1" applyAlignment="1" applyProtection="1">
      <alignment horizontal="center" vertical="center"/>
      <protection locked="0"/>
    </xf>
    <xf numFmtId="0" fontId="43" fillId="5" borderId="36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 wrapText="1"/>
    </xf>
    <xf numFmtId="0" fontId="39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</xf>
    <xf numFmtId="0" fontId="36" fillId="0" borderId="0" xfId="3" applyFont="1" applyProtection="1"/>
    <xf numFmtId="0" fontId="31" fillId="0" borderId="0" xfId="3" quotePrefix="1" applyFont="1" applyProtection="1"/>
    <xf numFmtId="0" fontId="31" fillId="0" borderId="91" xfId="3" applyFont="1" applyBorder="1" applyProtection="1"/>
    <xf numFmtId="166" fontId="42" fillId="0" borderId="97" xfId="3" applyNumberFormat="1" applyFont="1" applyBorder="1" applyAlignment="1" applyProtection="1">
      <alignment horizontal="center" shrinkToFit="1"/>
    </xf>
    <xf numFmtId="166" fontId="42" fillId="0" borderId="98" xfId="3" applyNumberFormat="1" applyFont="1" applyBorder="1" applyAlignment="1" applyProtection="1">
      <alignment horizontal="center" shrinkToFit="1"/>
    </xf>
    <xf numFmtId="0" fontId="31" fillId="0" borderId="0" xfId="3" applyFont="1" applyBorder="1" applyAlignment="1" applyProtection="1">
      <alignment wrapText="1"/>
    </xf>
    <xf numFmtId="0" fontId="43" fillId="5" borderId="36" xfId="3" applyFont="1" applyFill="1" applyBorder="1" applyAlignment="1" applyProtection="1">
      <alignment horizontal="left" vertical="center"/>
    </xf>
    <xf numFmtId="0" fontId="42" fillId="0" borderId="97" xfId="3" applyFont="1" applyBorder="1" applyAlignment="1" applyProtection="1">
      <alignment horizontal="center" vertical="center" shrinkToFit="1"/>
    </xf>
    <xf numFmtId="0" fontId="42" fillId="0" borderId="98" xfId="3" applyFont="1" applyBorder="1" applyAlignment="1" applyProtection="1">
      <alignment horizontal="center" vertical="center" shrinkToFit="1"/>
    </xf>
    <xf numFmtId="0" fontId="31" fillId="0" borderId="0" xfId="3" applyFont="1" applyBorder="1" applyAlignment="1" applyProtection="1">
      <alignment vertical="center" wrapText="1"/>
    </xf>
    <xf numFmtId="0" fontId="44" fillId="0" borderId="36" xfId="3" applyFont="1" applyBorder="1" applyAlignment="1" applyProtection="1">
      <alignment vertical="center"/>
    </xf>
    <xf numFmtId="165" fontId="45" fillId="0" borderId="36" xfId="3" applyNumberFormat="1" applyFont="1" applyBorder="1" applyAlignment="1" applyProtection="1">
      <alignment horizontal="center" vertical="center"/>
    </xf>
    <xf numFmtId="0" fontId="31" fillId="0" borderId="97" xfId="3" applyFont="1" applyBorder="1" applyAlignment="1" applyProtection="1">
      <alignment horizontal="left" vertical="center"/>
    </xf>
    <xf numFmtId="0" fontId="31" fillId="0" borderId="98" xfId="3" applyFont="1" applyBorder="1" applyAlignment="1" applyProtection="1">
      <alignment horizontal="left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0" xfId="3" applyFont="1" applyProtection="1">
      <protection locked="0"/>
    </xf>
    <xf numFmtId="164" fontId="31" fillId="8" borderId="36" xfId="5" applyNumberFormat="1" applyFont="1" applyFill="1" applyBorder="1" applyAlignment="1" applyProtection="1">
      <alignment vertical="center"/>
      <protection locked="0"/>
    </xf>
    <xf numFmtId="0" fontId="30" fillId="2" borderId="0" xfId="3" applyFont="1" applyFill="1" applyAlignment="1" applyProtection="1">
      <alignment horizontal="center" vertical="center"/>
    </xf>
    <xf numFmtId="167" fontId="31" fillId="8" borderId="36" xfId="1" applyNumberFormat="1" applyFont="1" applyFill="1" applyBorder="1" applyAlignment="1" applyProtection="1">
      <alignment horizontal="center" vertical="center"/>
      <protection locked="0"/>
    </xf>
    <xf numFmtId="9" fontId="45" fillId="0" borderId="36" xfId="6" applyFont="1" applyFill="1" applyBorder="1" applyAlignment="1" applyProtection="1">
      <alignment horizontal="center" vertical="center"/>
    </xf>
    <xf numFmtId="0" fontId="50" fillId="0" borderId="73" xfId="3" applyFont="1" applyBorder="1" applyAlignment="1" applyProtection="1">
      <alignment vertical="top"/>
    </xf>
    <xf numFmtId="0" fontId="36" fillId="13" borderId="38" xfId="3" applyFont="1" applyFill="1" applyBorder="1" applyAlignment="1" applyProtection="1">
      <alignment horizontal="center" vertical="center"/>
    </xf>
    <xf numFmtId="0" fontId="36" fillId="13" borderId="80" xfId="3" applyFont="1" applyFill="1" applyBorder="1" applyAlignment="1" applyProtection="1">
      <alignment horizontal="center" vertical="center"/>
    </xf>
    <xf numFmtId="0" fontId="36" fillId="13" borderId="40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6" fillId="1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/>
    </xf>
    <xf numFmtId="0" fontId="39" fillId="5" borderId="80" xfId="3" applyFont="1" applyFill="1" applyBorder="1" applyAlignment="1" applyProtection="1">
      <alignment horizontal="center" vertical="center"/>
    </xf>
    <xf numFmtId="0" fontId="39" fillId="5" borderId="40" xfId="3" applyFont="1" applyFill="1" applyBorder="1" applyAlignment="1" applyProtection="1">
      <alignment horizontal="center" vertical="center"/>
    </xf>
    <xf numFmtId="0" fontId="31" fillId="0" borderId="38" xfId="3" applyFont="1" applyFill="1" applyBorder="1" applyAlignment="1" applyProtection="1">
      <alignment horizontal="center" vertical="center"/>
    </xf>
    <xf numFmtId="0" fontId="31" fillId="0" borderId="80" xfId="3" applyFont="1" applyFill="1" applyBorder="1" applyAlignment="1" applyProtection="1">
      <alignment horizontal="center" vertical="center"/>
    </xf>
    <xf numFmtId="0" fontId="31" fillId="0" borderId="40" xfId="3" applyFont="1" applyFill="1" applyBorder="1" applyAlignment="1" applyProtection="1">
      <alignment horizontal="center" vertical="center"/>
    </xf>
    <xf numFmtId="164" fontId="31" fillId="0" borderId="38" xfId="5" applyNumberFormat="1" applyFont="1" applyFill="1" applyBorder="1" applyAlignment="1" applyProtection="1">
      <alignment horizontal="center" vertical="center"/>
    </xf>
    <xf numFmtId="164" fontId="31" fillId="0" borderId="80" xfId="5" applyNumberFormat="1" applyFont="1" applyFill="1" applyBorder="1" applyAlignment="1" applyProtection="1">
      <alignment horizontal="center" vertical="center"/>
    </xf>
    <xf numFmtId="164" fontId="31" fillId="0" borderId="40" xfId="5" applyNumberFormat="1" applyFont="1" applyFill="1" applyBorder="1" applyAlignment="1" applyProtection="1">
      <alignment horizontal="center" vertical="center"/>
    </xf>
    <xf numFmtId="0" fontId="31" fillId="16" borderId="38" xfId="3" applyFont="1" applyFill="1" applyBorder="1" applyAlignment="1" applyProtection="1">
      <alignment horizontal="center" vertical="center"/>
      <protection locked="0"/>
    </xf>
    <xf numFmtId="0" fontId="31" fillId="16" borderId="40" xfId="3" applyFont="1" applyFill="1" applyBorder="1" applyAlignment="1" applyProtection="1">
      <alignment horizontal="center" vertical="center"/>
      <protection locked="0"/>
    </xf>
    <xf numFmtId="0" fontId="36" fillId="13" borderId="23" xfId="3" applyFont="1" applyFill="1" applyBorder="1" applyAlignment="1" applyProtection="1">
      <alignment horizontal="center" vertical="center"/>
    </xf>
    <xf numFmtId="0" fontId="36" fillId="13" borderId="24" xfId="3" applyFont="1" applyFill="1" applyBorder="1" applyAlignment="1" applyProtection="1">
      <alignment horizontal="center" vertical="center"/>
    </xf>
    <xf numFmtId="0" fontId="36" fillId="13" borderId="25" xfId="3" applyFont="1" applyFill="1" applyBorder="1" applyAlignment="1" applyProtection="1">
      <alignment horizontal="center" vertical="center"/>
    </xf>
    <xf numFmtId="0" fontId="53" fillId="0" borderId="91" xfId="3" applyFont="1" applyBorder="1" applyAlignment="1" applyProtection="1">
      <alignment horizontal="center" vertical="center"/>
    </xf>
    <xf numFmtId="0" fontId="53" fillId="0" borderId="30" xfId="3" applyFont="1" applyBorder="1" applyAlignment="1" applyProtection="1">
      <alignment horizontal="center" vertical="center"/>
    </xf>
    <xf numFmtId="0" fontId="36" fillId="15" borderId="4" xfId="3" applyFont="1" applyFill="1" applyBorder="1" applyAlignment="1" applyProtection="1">
      <alignment horizontal="center" vertical="center"/>
    </xf>
    <xf numFmtId="0" fontId="36" fillId="15" borderId="5" xfId="3" applyFont="1" applyFill="1" applyBorder="1" applyAlignment="1" applyProtection="1">
      <alignment horizontal="center" vertical="center"/>
    </xf>
    <xf numFmtId="0" fontId="36" fillId="15" borderId="6" xfId="3" applyFont="1" applyFill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/>
    </xf>
    <xf numFmtId="0" fontId="35" fillId="0" borderId="36" xfId="3" applyFont="1" applyBorder="1" applyAlignment="1" applyProtection="1">
      <alignment horizontal="center" vertical="center"/>
    </xf>
    <xf numFmtId="0" fontId="35" fillId="0" borderId="37" xfId="3" applyFont="1" applyBorder="1" applyAlignment="1" applyProtection="1">
      <alignment horizontal="center" vertical="center"/>
    </xf>
    <xf numFmtId="0" fontId="35" fillId="0" borderId="43" xfId="3" applyFont="1" applyBorder="1" applyAlignment="1" applyProtection="1">
      <alignment horizontal="center" vertical="center"/>
    </xf>
    <xf numFmtId="0" fontId="35" fillId="0" borderId="44" xfId="3" applyFont="1" applyBorder="1" applyAlignment="1" applyProtection="1">
      <alignment horizontal="center" vertical="center"/>
    </xf>
    <xf numFmtId="0" fontId="35" fillId="0" borderId="45" xfId="3" applyFont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 wrapText="1"/>
    </xf>
    <xf numFmtId="0" fontId="35" fillId="0" borderId="36" xfId="3" applyFont="1" applyBorder="1" applyAlignment="1" applyProtection="1">
      <alignment horizontal="center" vertical="center" wrapText="1"/>
    </xf>
    <xf numFmtId="0" fontId="35" fillId="0" borderId="37" xfId="3" applyFont="1" applyBorder="1" applyAlignment="1" applyProtection="1">
      <alignment horizontal="center" vertical="center" wrapText="1"/>
    </xf>
    <xf numFmtId="0" fontId="35" fillId="0" borderId="43" xfId="3" applyFont="1" applyBorder="1" applyAlignment="1" applyProtection="1">
      <alignment horizontal="center" vertical="center" wrapText="1"/>
    </xf>
    <xf numFmtId="0" fontId="35" fillId="0" borderId="44" xfId="3" applyFont="1" applyBorder="1" applyAlignment="1" applyProtection="1">
      <alignment horizontal="center" vertical="center" wrapText="1"/>
    </xf>
    <xf numFmtId="0" fontId="35" fillId="0" borderId="45" xfId="3" applyFont="1" applyBorder="1" applyAlignment="1" applyProtection="1">
      <alignment horizontal="center" vertical="center" wrapText="1"/>
    </xf>
    <xf numFmtId="0" fontId="31" fillId="0" borderId="36" xfId="3" applyFont="1" applyBorder="1" applyAlignment="1" applyProtection="1">
      <alignment horizontal="left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1" fillId="2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center" vertical="center" wrapText="1"/>
    </xf>
    <xf numFmtId="0" fontId="8" fillId="17" borderId="4" xfId="0" applyFont="1" applyFill="1" applyBorder="1" applyAlignment="1" applyProtection="1">
      <alignment horizontal="center" vertical="center"/>
    </xf>
    <xf numFmtId="0" fontId="8" fillId="17" borderId="5" xfId="0" applyFont="1" applyFill="1" applyBorder="1" applyAlignment="1" applyProtection="1">
      <alignment horizontal="center" vertical="center"/>
    </xf>
    <xf numFmtId="0" fontId="8" fillId="17" borderId="16" xfId="0" applyFont="1" applyFill="1" applyBorder="1" applyAlignment="1" applyProtection="1">
      <alignment horizontal="center" vertical="center"/>
    </xf>
    <xf numFmtId="0" fontId="8" fillId="17" borderId="17" xfId="0" applyFont="1" applyFill="1" applyBorder="1" applyAlignment="1" applyProtection="1">
      <alignment horizontal="center" vertical="center"/>
    </xf>
    <xf numFmtId="0" fontId="9" fillId="9" borderId="9" xfId="0" applyFont="1" applyFill="1" applyBorder="1" applyAlignment="1" applyProtection="1">
      <alignment horizontal="center" vertical="center"/>
    </xf>
    <xf numFmtId="0" fontId="9" fillId="9" borderId="10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0" fillId="0" borderId="17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top" wrapText="1"/>
    </xf>
    <xf numFmtId="0" fontId="49" fillId="0" borderId="30" xfId="0" applyFont="1" applyBorder="1" applyAlignment="1" applyProtection="1">
      <alignment horizontal="center" vertical="top" wrapText="1"/>
    </xf>
    <xf numFmtId="0" fontId="11" fillId="17" borderId="57" xfId="0" applyFont="1" applyFill="1" applyBorder="1" applyAlignment="1" applyProtection="1">
      <alignment horizontal="center" vertical="center"/>
      <protection locked="0"/>
    </xf>
    <xf numFmtId="0" fontId="11" fillId="17" borderId="58" xfId="0" applyFont="1" applyFill="1" applyBorder="1" applyAlignment="1" applyProtection="1">
      <alignment horizontal="center" vertical="center"/>
      <protection locked="0"/>
    </xf>
    <xf numFmtId="0" fontId="11" fillId="17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1" xfId="0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2" fillId="7" borderId="95" xfId="0" applyFont="1" applyFill="1" applyBorder="1" applyAlignment="1" applyProtection="1">
      <alignment horizontal="center" vertical="center"/>
    </xf>
    <xf numFmtId="0" fontId="2" fillId="7" borderId="96" xfId="0" applyFont="1" applyFill="1" applyBorder="1" applyAlignment="1" applyProtection="1">
      <alignment horizontal="center" vertical="center"/>
    </xf>
    <xf numFmtId="0" fontId="0" fillId="0" borderId="93" xfId="0" applyBorder="1" applyAlignment="1" applyProtection="1">
      <alignment horizontal="center" vertical="center"/>
    </xf>
    <xf numFmtId="0" fontId="0" fillId="0" borderId="94" xfId="0" applyBorder="1" applyAlignment="1" applyProtection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0" fillId="10" borderId="36" xfId="0" applyFill="1" applyBorder="1" applyAlignment="1" applyProtection="1">
      <alignment horizontal="center"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2" fillId="7" borderId="35" xfId="0" applyFont="1" applyFill="1" applyBorder="1" applyAlignment="1" applyProtection="1">
      <alignment horizontal="center" vertical="center"/>
    </xf>
    <xf numFmtId="0" fontId="2" fillId="7" borderId="36" xfId="0" applyFont="1" applyFill="1" applyBorder="1" applyAlignment="1" applyProtection="1">
      <alignment horizontal="center" vertical="center"/>
    </xf>
    <xf numFmtId="0" fontId="2" fillId="7" borderId="39" xfId="0" applyFont="1" applyFill="1" applyBorder="1" applyAlignment="1" applyProtection="1">
      <alignment horizontal="center" vertical="center"/>
    </xf>
    <xf numFmtId="0" fontId="2" fillId="7" borderId="40" xfId="0" applyFont="1" applyFill="1" applyBorder="1" applyAlignment="1" applyProtection="1">
      <alignment horizontal="center" vertical="center"/>
    </xf>
    <xf numFmtId="0" fontId="0" fillId="10" borderId="38" xfId="0" applyFill="1" applyBorder="1" applyAlignment="1" applyProtection="1">
      <alignment horizontal="center" vertical="center"/>
      <protection locked="0"/>
    </xf>
    <xf numFmtId="0" fontId="0" fillId="10" borderId="76" xfId="0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 applyProtection="1">
      <alignment horizontal="center" vertical="center"/>
      <protection locked="0"/>
    </xf>
    <xf numFmtId="0" fontId="12" fillId="10" borderId="45" xfId="0" applyFont="1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 applyProtection="1">
      <alignment horizontal="center" vertical="center"/>
    </xf>
    <xf numFmtId="0" fontId="2" fillId="7" borderId="44" xfId="0" applyFont="1" applyFill="1" applyBorder="1" applyAlignment="1" applyProtection="1">
      <alignment horizontal="center" vertical="center"/>
    </xf>
    <xf numFmtId="0" fontId="2" fillId="7" borderId="46" xfId="0" applyFont="1" applyFill="1" applyBorder="1" applyAlignment="1" applyProtection="1">
      <alignment horizontal="center" vertical="center"/>
    </xf>
    <xf numFmtId="0" fontId="2" fillId="7" borderId="51" xfId="0" applyFont="1" applyFill="1" applyBorder="1" applyAlignment="1" applyProtection="1">
      <alignment horizontal="center" vertical="center"/>
    </xf>
    <xf numFmtId="0" fontId="12" fillId="10" borderId="52" xfId="0" applyFont="1" applyFill="1" applyBorder="1" applyAlignment="1" applyProtection="1">
      <alignment horizontal="center" vertical="center"/>
      <protection locked="0"/>
    </xf>
    <xf numFmtId="0" fontId="12" fillId="10" borderId="89" xfId="0" applyFont="1" applyFill="1" applyBorder="1" applyAlignment="1" applyProtection="1">
      <alignment horizontal="center" vertical="center"/>
      <protection locked="0"/>
    </xf>
    <xf numFmtId="0" fontId="9" fillId="10" borderId="13" xfId="0" applyFont="1" applyFill="1" applyBorder="1" applyAlignment="1" applyProtection="1">
      <alignment horizontal="center" vertical="center"/>
      <protection locked="0"/>
    </xf>
    <xf numFmtId="0" fontId="9" fillId="10" borderId="8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16" fontId="9" fillId="10" borderId="16" xfId="0" quotePrefix="1" applyNumberFormat="1" applyFont="1" applyFill="1" applyBorder="1" applyAlignment="1" applyProtection="1">
      <alignment horizontal="center" vertical="center"/>
      <protection locked="0"/>
    </xf>
    <xf numFmtId="0" fontId="9" fillId="10" borderId="18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/>
    </xf>
    <xf numFmtId="0" fontId="20" fillId="2" borderId="5" xfId="0" applyFont="1" applyFill="1" applyBorder="1" applyAlignment="1" applyProtection="1">
      <alignment horizontal="center"/>
    </xf>
    <xf numFmtId="0" fontId="20" fillId="2" borderId="6" xfId="0" applyFont="1" applyFill="1" applyBorder="1" applyAlignment="1" applyProtection="1">
      <alignment horizontal="center"/>
    </xf>
    <xf numFmtId="0" fontId="2" fillId="12" borderId="13" xfId="0" applyFont="1" applyFill="1" applyBorder="1" applyAlignment="1" applyProtection="1">
      <alignment horizontal="center" vertical="center"/>
    </xf>
    <xf numFmtId="0" fontId="2" fillId="12" borderId="8" xfId="0" applyFont="1" applyFill="1" applyBorder="1" applyAlignment="1" applyProtection="1">
      <alignment horizontal="center" vertical="center"/>
    </xf>
    <xf numFmtId="0" fontId="3" fillId="5" borderId="66" xfId="0" applyFont="1" applyFill="1" applyBorder="1" applyAlignment="1" applyProtection="1">
      <alignment horizontal="center" vertical="center"/>
    </xf>
    <xf numFmtId="0" fontId="3" fillId="5" borderId="67" xfId="0" applyFont="1" applyFill="1" applyBorder="1" applyAlignment="1" applyProtection="1">
      <alignment horizontal="center" vertical="center"/>
    </xf>
    <xf numFmtId="0" fontId="3" fillId="5" borderId="6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</xf>
    <xf numFmtId="0" fontId="18" fillId="0" borderId="0" xfId="0" quotePrefix="1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30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left" vertical="center"/>
    </xf>
    <xf numFmtId="0" fontId="9" fillId="0" borderId="73" xfId="0" applyFont="1" applyBorder="1" applyAlignment="1" applyProtection="1">
      <alignment horizontal="left" vertical="center"/>
    </xf>
    <xf numFmtId="164" fontId="9" fillId="0" borderId="73" xfId="1" applyNumberFormat="1" applyFont="1" applyBorder="1" applyAlignment="1" applyProtection="1">
      <alignment horizontal="center" vertical="center"/>
    </xf>
    <xf numFmtId="164" fontId="9" fillId="0" borderId="74" xfId="1" applyNumberFormat="1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right" vertical="center"/>
    </xf>
    <xf numFmtId="0" fontId="3" fillId="0" borderId="24" xfId="0" applyFont="1" applyBorder="1" applyAlignment="1" applyProtection="1">
      <alignment horizontal="right" vertical="center"/>
    </xf>
    <xf numFmtId="0" fontId="18" fillId="0" borderId="0" xfId="0" applyFont="1" applyAlignment="1" applyProtection="1">
      <alignment horizontal="left" vertical="center"/>
    </xf>
    <xf numFmtId="0" fontId="18" fillId="0" borderId="30" xfId="0" applyFont="1" applyBorder="1" applyAlignment="1" applyProtection="1">
      <alignment horizontal="left" vertical="center"/>
    </xf>
    <xf numFmtId="164" fontId="9" fillId="0" borderId="80" xfId="0" applyNumberFormat="1" applyFont="1" applyBorder="1" applyAlignment="1" applyProtection="1">
      <alignment horizontal="center" vertical="center"/>
    </xf>
    <xf numFmtId="164" fontId="9" fillId="0" borderId="76" xfId="0" applyNumberFormat="1" applyFont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right" vertical="center"/>
    </xf>
    <xf numFmtId="0" fontId="2" fillId="2" borderId="36" xfId="0" applyFont="1" applyFill="1" applyBorder="1" applyAlignment="1" applyProtection="1">
      <alignment horizontal="right" vertical="center"/>
    </xf>
    <xf numFmtId="164" fontId="9" fillId="0" borderId="17" xfId="0" applyNumberFormat="1" applyFont="1" applyBorder="1" applyAlignment="1" applyProtection="1">
      <alignment horizontal="center" vertical="center"/>
    </xf>
    <xf numFmtId="164" fontId="9" fillId="0" borderId="18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right" vertical="center"/>
    </xf>
    <xf numFmtId="0" fontId="3" fillId="0" borderId="44" xfId="0" applyFont="1" applyBorder="1" applyAlignment="1" applyProtection="1">
      <alignment horizontal="right" vertical="center"/>
    </xf>
    <xf numFmtId="0" fontId="20" fillId="2" borderId="4" xfId="0" applyFont="1" applyFill="1" applyBorder="1" applyAlignment="1" applyProtection="1">
      <alignment horizontal="center" vertical="center"/>
    </xf>
    <xf numFmtId="0" fontId="20" fillId="2" borderId="5" xfId="0" applyFont="1" applyFill="1" applyBorder="1" applyAlignment="1" applyProtection="1">
      <alignment horizontal="center" vertical="center"/>
    </xf>
    <xf numFmtId="0" fontId="20" fillId="2" borderId="6" xfId="0" applyFont="1" applyFill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36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44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left" vertical="center"/>
    </xf>
    <xf numFmtId="0" fontId="9" fillId="0" borderId="17" xfId="0" applyFont="1" applyBorder="1" applyAlignment="1" applyProtection="1">
      <alignment horizontal="left" vertical="center"/>
    </xf>
    <xf numFmtId="0" fontId="2" fillId="2" borderId="43" xfId="0" applyFont="1" applyFill="1" applyBorder="1" applyAlignment="1" applyProtection="1">
      <alignment horizontal="right" vertical="center" wrapText="1"/>
    </xf>
    <xf numFmtId="0" fontId="2" fillId="2" borderId="44" xfId="0" applyFont="1" applyFill="1" applyBorder="1" applyAlignment="1" applyProtection="1">
      <alignment horizontal="right" vertical="center" wrapText="1"/>
    </xf>
    <xf numFmtId="0" fontId="26" fillId="10" borderId="36" xfId="0" applyFont="1" applyFill="1" applyBorder="1" applyAlignment="1" applyProtection="1">
      <alignment horizontal="center" vertical="center" wrapText="1"/>
    </xf>
    <xf numFmtId="0" fontId="3" fillId="0" borderId="33" xfId="0" applyFont="1" applyBorder="1" applyAlignment="1" applyProtection="1">
      <alignment horizontal="right" vertical="center"/>
    </xf>
    <xf numFmtId="0" fontId="3" fillId="0" borderId="73" xfId="0" applyFont="1" applyBorder="1" applyAlignment="1" applyProtection="1">
      <alignment horizontal="right" vertical="center"/>
    </xf>
    <xf numFmtId="0" fontId="3" fillId="0" borderId="90" xfId="0" applyFont="1" applyBorder="1" applyAlignment="1" applyProtection="1">
      <alignment horizontal="right" vertical="center"/>
    </xf>
    <xf numFmtId="164" fontId="9" fillId="0" borderId="16" xfId="0" applyNumberFormat="1" applyFont="1" applyBorder="1" applyAlignment="1" applyProtection="1">
      <alignment horizontal="center"/>
    </xf>
    <xf numFmtId="164" fontId="9" fillId="0" borderId="17" xfId="0" applyNumberFormat="1" applyFont="1" applyBorder="1" applyAlignment="1" applyProtection="1">
      <alignment horizontal="center"/>
    </xf>
    <xf numFmtId="164" fontId="9" fillId="0" borderId="18" xfId="0" applyNumberFormat="1" applyFont="1" applyBorder="1" applyAlignment="1" applyProtection="1">
      <alignment horizontal="center"/>
    </xf>
    <xf numFmtId="0" fontId="3" fillId="0" borderId="39" xfId="0" applyFont="1" applyBorder="1" applyAlignment="1" applyProtection="1">
      <alignment horizontal="right" vertical="center"/>
    </xf>
    <xf numFmtId="0" fontId="3" fillId="0" borderId="8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2" fillId="2" borderId="39" xfId="0" quotePrefix="1" applyFont="1" applyFill="1" applyBorder="1" applyAlignment="1" applyProtection="1">
      <alignment horizontal="right" vertical="center"/>
    </xf>
    <xf numFmtId="0" fontId="2" fillId="2" borderId="80" xfId="0" quotePrefix="1" applyFont="1" applyFill="1" applyBorder="1" applyAlignment="1" applyProtection="1">
      <alignment horizontal="right" vertical="center"/>
    </xf>
    <xf numFmtId="0" fontId="2" fillId="2" borderId="40" xfId="0" quotePrefix="1" applyFont="1" applyFill="1" applyBorder="1" applyAlignment="1" applyProtection="1">
      <alignment horizontal="right" vertical="center"/>
    </xf>
    <xf numFmtId="0" fontId="3" fillId="0" borderId="45" xfId="0" applyFont="1" applyBorder="1" applyAlignment="1" applyProtection="1">
      <alignment horizontal="center" vertical="center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28" xfId="3" applyFont="1" applyFill="1" applyBorder="1" applyAlignment="1" applyProtection="1">
      <alignment horizontal="center" vertical="center"/>
    </xf>
    <xf numFmtId="0" fontId="35" fillId="0" borderId="23" xfId="3" applyFont="1" applyBorder="1" applyAlignment="1" applyProtection="1">
      <alignment horizontal="center" vertical="center"/>
    </xf>
    <xf numFmtId="0" fontId="35" fillId="0" borderId="24" xfId="3" applyFont="1" applyBorder="1" applyAlignment="1" applyProtection="1">
      <alignment horizontal="center" vertical="center"/>
    </xf>
    <xf numFmtId="0" fontId="35" fillId="0" borderId="25" xfId="3" applyFont="1" applyBorder="1" applyAlignment="1" applyProtection="1">
      <alignment horizontal="center" vertical="center"/>
    </xf>
    <xf numFmtId="0" fontId="35" fillId="0" borderId="16" xfId="3" applyFont="1" applyBorder="1" applyAlignment="1" applyProtection="1">
      <alignment horizontal="center" vertical="center"/>
    </xf>
    <xf numFmtId="0" fontId="35" fillId="0" borderId="17" xfId="3" applyFont="1" applyBorder="1" applyAlignment="1" applyProtection="1">
      <alignment horizontal="center" vertical="center"/>
    </xf>
    <xf numFmtId="0" fontId="35" fillId="0" borderId="18" xfId="3" applyFont="1" applyBorder="1" applyAlignment="1" applyProtection="1">
      <alignment horizontal="center" vertical="center"/>
    </xf>
    <xf numFmtId="0" fontId="31" fillId="10" borderId="38" xfId="3" applyFont="1" applyFill="1" applyBorder="1" applyAlignment="1" applyProtection="1">
      <alignment horizontal="center" vertical="center"/>
      <protection locked="0"/>
    </xf>
    <xf numFmtId="0" fontId="31" fillId="10" borderId="40" xfId="3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 wrapText="1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/>
      <protection locked="0"/>
    </xf>
    <xf numFmtId="0" fontId="8" fillId="8" borderId="17" xfId="0" applyFont="1" applyFill="1" applyBorder="1" applyAlignment="1" applyProtection="1">
      <alignment horizontal="center" vertical="center"/>
      <protection locked="0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1" fillId="8" borderId="57" xfId="0" applyFont="1" applyFill="1" applyBorder="1" applyAlignment="1" applyProtection="1">
      <alignment horizontal="center" vertical="center"/>
      <protection locked="0"/>
    </xf>
    <xf numFmtId="0" fontId="11" fillId="8" borderId="58" xfId="0" applyFont="1" applyFill="1" applyBorder="1" applyAlignment="1" applyProtection="1">
      <alignment horizontal="center" vertical="center"/>
      <protection locked="0"/>
    </xf>
    <xf numFmtId="0" fontId="11" fillId="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8" borderId="9" xfId="0" applyFill="1" applyBorder="1" applyAlignment="1" applyProtection="1">
      <alignment horizontal="center"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 vertical="center"/>
      <protection locked="0"/>
    </xf>
    <xf numFmtId="0" fontId="3" fillId="0" borderId="32" xfId="0" applyFont="1" applyBorder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3" fillId="0" borderId="23" xfId="0" applyFont="1" applyBorder="1" applyAlignment="1">
      <alignment horizontal="right" vertical="center"/>
    </xf>
    <xf numFmtId="0" fontId="3" fillId="0" borderId="24" xfId="0" applyFont="1" applyBorder="1" applyAlignment="1">
      <alignment horizontal="right" vertical="center"/>
    </xf>
    <xf numFmtId="0" fontId="3" fillId="0" borderId="63" xfId="0" applyFont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3" fillId="5" borderId="66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center" vertical="center"/>
    </xf>
    <xf numFmtId="0" fontId="3" fillId="5" borderId="68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76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0" fontId="3" fillId="0" borderId="43" xfId="0" applyFont="1" applyBorder="1" applyAlignment="1">
      <alignment horizontal="right" vertical="center"/>
    </xf>
    <xf numFmtId="0" fontId="3" fillId="0" borderId="44" xfId="0" applyFont="1" applyBorder="1" applyAlignment="1">
      <alignment horizontal="right"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18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9" fillId="0" borderId="73" xfId="0" applyFont="1" applyBorder="1" applyAlignment="1">
      <alignment horizontal="left" vertical="center"/>
    </xf>
    <xf numFmtId="0" fontId="2" fillId="2" borderId="35" xfId="0" applyFont="1" applyFill="1" applyBorder="1" applyAlignment="1">
      <alignment horizontal="right" vertical="center"/>
    </xf>
    <xf numFmtId="0" fontId="2" fillId="2" borderId="36" xfId="0" applyFont="1" applyFill="1" applyBorder="1" applyAlignment="1">
      <alignment horizontal="right" vertical="center"/>
    </xf>
    <xf numFmtId="0" fontId="2" fillId="2" borderId="39" xfId="0" quotePrefix="1" applyFont="1" applyFill="1" applyBorder="1" applyAlignment="1">
      <alignment horizontal="right" vertical="center"/>
    </xf>
    <xf numFmtId="0" fontId="2" fillId="2" borderId="80" xfId="0" quotePrefix="1" applyFont="1" applyFill="1" applyBorder="1" applyAlignment="1">
      <alignment horizontal="right" vertical="center"/>
    </xf>
    <xf numFmtId="0" fontId="2" fillId="2" borderId="40" xfId="0" quotePrefix="1" applyFont="1" applyFill="1" applyBorder="1" applyAlignment="1">
      <alignment horizontal="right" vertical="center"/>
    </xf>
    <xf numFmtId="0" fontId="2" fillId="2" borderId="43" xfId="0" applyFont="1" applyFill="1" applyBorder="1" applyAlignment="1">
      <alignment horizontal="right" vertical="center" wrapText="1"/>
    </xf>
    <xf numFmtId="0" fontId="2" fillId="2" borderId="44" xfId="0" applyFont="1" applyFill="1" applyBorder="1" applyAlignment="1">
      <alignment horizontal="right" vertical="center" wrapText="1"/>
    </xf>
    <xf numFmtId="0" fontId="26" fillId="10" borderId="36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/>
    </xf>
    <xf numFmtId="0" fontId="3" fillId="5" borderId="67" xfId="0" applyFont="1" applyFill="1" applyBorder="1" applyAlignment="1">
      <alignment horizontal="center"/>
    </xf>
    <xf numFmtId="0" fontId="3" fillId="5" borderId="68" xfId="0" applyFont="1" applyFill="1" applyBorder="1" applyAlignment="1">
      <alignment horizontal="center"/>
    </xf>
    <xf numFmtId="0" fontId="3" fillId="0" borderId="33" xfId="0" applyFont="1" applyBorder="1" applyAlignment="1">
      <alignment horizontal="right" vertical="center"/>
    </xf>
    <xf numFmtId="0" fontId="3" fillId="0" borderId="73" xfId="0" applyFont="1" applyBorder="1" applyAlignment="1">
      <alignment horizontal="right" vertical="center"/>
    </xf>
    <xf numFmtId="0" fontId="3" fillId="0" borderId="90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80" xfId="0" applyFont="1" applyBorder="1" applyAlignment="1">
      <alignment horizontal="right" vertical="center"/>
    </xf>
    <xf numFmtId="0" fontId="3" fillId="0" borderId="40" xfId="0" applyFont="1" applyBorder="1" applyAlignment="1">
      <alignment horizontal="right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" fillId="7" borderId="1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2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</cellXfs>
  <cellStyles count="7">
    <cellStyle name="Comma" xfId="1" builtinId="3"/>
    <cellStyle name="Comma 3" xfId="5" xr:uid="{00000000-0005-0000-0000-000001000000}"/>
    <cellStyle name="Hyperlink 2" xfId="4" xr:uid="{00000000-0005-0000-0000-000002000000}"/>
    <cellStyle name="Normal" xfId="0" builtinId="0"/>
    <cellStyle name="Normal 3" xfId="3" xr:uid="{00000000-0005-0000-0000-000004000000}"/>
    <cellStyle name="Percent" xfId="2" builtinId="5"/>
    <cellStyle name="Percent 2" xfId="6" xr:uid="{00000000-0005-0000-0000-000006000000}"/>
  </cellStyles>
  <dxfs count="250">
    <dxf>
      <font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ill>
        <patternFill patternType="solid"/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solid"/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19050</xdr:rowOff>
        </xdr:from>
        <xdr:to>
          <xdr:col>3</xdr:col>
          <xdr:colOff>438150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2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257175</xdr:colOff>
          <xdr:row>102</xdr:row>
          <xdr:rowOff>266700</xdr:rowOff>
        </xdr:from>
        <xdr:to>
          <xdr:col>45</xdr:col>
          <xdr:colOff>419100</xdr:colOff>
          <xdr:row>103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1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sion_Event_List" displayName="Fusion_Event_List" ref="AP4:BH14" totalsRowShown="0" headerRowDxfId="249" dataDxfId="247" headerRowBorderDxfId="248" tableBorderDxfId="246" headerRowCellStyle="Normal 3">
  <autoFilter ref="AP4:BH14" xr:uid="{00000000-0009-0000-0100-000001000000}"/>
  <sortState xmlns:xlrd2="http://schemas.microsoft.com/office/spreadsheetml/2017/richdata2" ref="AP5:BH14">
    <sortCondition ref="AQ5:AQ14"/>
    <sortCondition ref="AR5:AR14"/>
  </sortState>
  <tableColumns count="19">
    <tableColumn id="1" xr3:uid="{00000000-0010-0000-0000-000001000000}" name="Event" dataDxfId="245"/>
    <tableColumn id="2" xr3:uid="{00000000-0010-0000-0000-000002000000}" name="Start" dataDxfId="244"/>
    <tableColumn id="3" xr3:uid="{00000000-0010-0000-0000-000003000000}" name="End" dataDxfId="243"/>
    <tableColumn id="4" xr3:uid="{00000000-0010-0000-0000-000004000000}" name="Qty1" dataDxfId="242"/>
    <tableColumn id="5" xr3:uid="{00000000-0010-0000-0000-000005000000}" name="Champion1" dataDxfId="241"/>
    <tableColumn id="6" xr3:uid="{00000000-0010-0000-0000-000006000000}" name="Points1" dataDxfId="240"/>
    <tableColumn id="7" xr3:uid="{00000000-0010-0000-0000-000007000000}" name="Qty2" dataDxfId="239"/>
    <tableColumn id="8" xr3:uid="{00000000-0010-0000-0000-000008000000}" name="Champion2" dataDxfId="238"/>
    <tableColumn id="9" xr3:uid="{00000000-0010-0000-0000-000009000000}" name="Points2" dataDxfId="237"/>
    <tableColumn id="10" xr3:uid="{00000000-0010-0000-0000-00000A000000}" name="Qty3" dataDxfId="236"/>
    <tableColumn id="11" xr3:uid="{00000000-0010-0000-0000-00000B000000}" name="Champion3" dataDxfId="235"/>
    <tableColumn id="12" xr3:uid="{00000000-0010-0000-0000-00000C000000}" name="Points3" dataDxfId="234"/>
    <tableColumn id="13" xr3:uid="{00000000-0010-0000-0000-00000D000000}" name="Qty4" dataDxfId="233"/>
    <tableColumn id="14" xr3:uid="{00000000-0010-0000-0000-00000E000000}" name="Champion4" dataDxfId="232"/>
    <tableColumn id="15" xr3:uid="{00000000-0010-0000-0000-00000F000000}" name="Points4" dataDxfId="231"/>
    <tableColumn id="16" xr3:uid="{00000000-0010-0000-0000-000010000000}" name="Qty5" dataDxfId="230"/>
    <tableColumn id="17" xr3:uid="{00000000-0010-0000-0000-000011000000}" name="Champion5" dataDxfId="229"/>
    <tableColumn id="18" xr3:uid="{00000000-0010-0000-0000-000012000000}" name="Qty6" dataDxfId="228"/>
    <tableColumn id="19" xr3:uid="{00000000-0010-0000-0000-000013000000}" name="Champion6" dataDxfId="2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theme="4" tint="0.39997558519241921"/>
    <pageSetUpPr fitToPage="1"/>
  </sheetPr>
  <dimension ref="B1:CP249"/>
  <sheetViews>
    <sheetView zoomScaleNormal="100" workbookViewId="0">
      <pane ySplit="9" topLeftCell="A10" activePane="bottomLeft" state="frozen"/>
      <selection pane="bottomLeft" activeCell="AV112" sqref="AV112"/>
    </sheetView>
  </sheetViews>
  <sheetFormatPr defaultColWidth="9.140625" defaultRowHeight="12.75" x14ac:dyDescent="0.2"/>
  <cols>
    <col min="1" max="1" width="1.28515625" style="217" customWidth="1"/>
    <col min="2" max="2" width="31.5703125" style="217" customWidth="1"/>
    <col min="3" max="4" width="9.7109375" style="217" customWidth="1"/>
    <col min="5" max="5" width="9.28515625" style="217" customWidth="1"/>
    <col min="6" max="6" width="7.85546875" style="217" customWidth="1"/>
    <col min="7" max="7" width="7.140625" style="217" customWidth="1"/>
    <col min="8" max="8" width="5.42578125" style="217" customWidth="1"/>
    <col min="9" max="10" width="7.85546875" style="217" customWidth="1"/>
    <col min="11" max="37" width="2.7109375" style="217" customWidth="1"/>
    <col min="38" max="38" width="3.42578125" style="217" customWidth="1"/>
    <col min="39" max="39" width="8.5703125" style="217" customWidth="1"/>
    <col min="40" max="40" width="3.42578125" style="217" customWidth="1"/>
    <col min="41" max="41" width="8.5703125" style="217" customWidth="1"/>
    <col min="42" max="43" width="2.7109375" style="217" customWidth="1"/>
    <col min="44" max="44" width="2" style="217" hidden="1" customWidth="1"/>
    <col min="45" max="48" width="11" style="217" hidden="1" customWidth="1"/>
    <col min="49" max="49" width="1.42578125" style="217" hidden="1" customWidth="1"/>
    <col min="50" max="53" width="11" style="217" hidden="1" customWidth="1"/>
    <col min="54" max="54" width="1.42578125" style="217" hidden="1" customWidth="1"/>
    <col min="55" max="58" width="11" style="217" hidden="1" customWidth="1"/>
    <col min="59" max="59" width="1.42578125" style="217" hidden="1" customWidth="1"/>
    <col min="60" max="63" width="11" style="217" hidden="1" customWidth="1"/>
    <col min="64" max="64" width="1.85546875" style="217" hidden="1" customWidth="1"/>
    <col min="65" max="65" width="10" style="217" hidden="1" customWidth="1"/>
    <col min="66" max="90" width="8.85546875" style="217" hidden="1" customWidth="1"/>
    <col min="91" max="94" width="8.85546875" style="217" customWidth="1"/>
    <col min="95" max="16384" width="9.140625" style="217"/>
  </cols>
  <sheetData>
    <row r="1" spans="2:69" ht="30" customHeight="1" x14ac:dyDescent="0.2">
      <c r="B1" s="376" t="s">
        <v>413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  <c r="AB1" s="376"/>
      <c r="AC1" s="376"/>
      <c r="AD1" s="376"/>
      <c r="AE1" s="376"/>
      <c r="AF1" s="376"/>
      <c r="AG1" s="376"/>
      <c r="AH1" s="376"/>
      <c r="AI1" s="376"/>
      <c r="AJ1" s="376"/>
      <c r="AK1" s="376"/>
      <c r="AL1" s="376"/>
      <c r="AM1" s="376"/>
      <c r="AN1" s="376"/>
      <c r="AO1" s="376"/>
    </row>
    <row r="2" spans="2:69" ht="4.5" customHeight="1" x14ac:dyDescent="0.2">
      <c r="B2" s="218"/>
      <c r="C2" s="218"/>
      <c r="D2" s="218"/>
      <c r="E2" s="218"/>
      <c r="F2" s="218"/>
      <c r="G2" s="218"/>
      <c r="H2" s="218"/>
      <c r="I2" s="218"/>
      <c r="J2" s="218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</row>
    <row r="3" spans="2:69" ht="4.5" customHeight="1" thickBot="1" x14ac:dyDescent="0.25">
      <c r="B3" s="218"/>
      <c r="C3" s="218"/>
      <c r="D3" s="218"/>
      <c r="E3" s="218"/>
      <c r="F3" s="218"/>
      <c r="G3" s="218"/>
      <c r="H3" s="218"/>
      <c r="I3" s="218"/>
      <c r="J3" s="218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</row>
    <row r="4" spans="2:69" ht="21.75" customHeight="1" x14ac:dyDescent="0.2">
      <c r="B4" s="379" t="s">
        <v>414</v>
      </c>
      <c r="C4" s="379"/>
      <c r="D4" s="219"/>
      <c r="G4" s="401" t="s">
        <v>334</v>
      </c>
      <c r="H4" s="402"/>
      <c r="I4" s="403"/>
      <c r="J4" s="220"/>
      <c r="K4" s="401" t="s">
        <v>335</v>
      </c>
      <c r="L4" s="402"/>
      <c r="M4" s="402"/>
      <c r="N4" s="402"/>
      <c r="O4" s="402"/>
      <c r="P4" s="402"/>
      <c r="Q4" s="402"/>
      <c r="R4" s="403"/>
      <c r="S4" s="220"/>
      <c r="T4" s="220"/>
      <c r="U4" s="220"/>
      <c r="V4" s="401" t="s">
        <v>377</v>
      </c>
      <c r="W4" s="402"/>
      <c r="X4" s="402"/>
      <c r="Y4" s="402"/>
      <c r="Z4" s="402"/>
      <c r="AA4" s="402"/>
      <c r="AB4" s="402"/>
      <c r="AC4" s="403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</row>
    <row r="5" spans="2:69" ht="15.75" customHeight="1" x14ac:dyDescent="0.2">
      <c r="B5" s="222" t="s">
        <v>420</v>
      </c>
      <c r="C5" s="223" t="s">
        <v>21</v>
      </c>
      <c r="D5" s="223" t="s">
        <v>265</v>
      </c>
      <c r="E5" s="399" t="str">
        <f>IF(V5&gt;=100,"Ready to fuse","")</f>
        <v/>
      </c>
      <c r="F5" s="400"/>
      <c r="G5" s="404">
        <f>SUMIF(HF_Champion1,HF_EC_Abbrev1,HF_Fragments1)+SUMIF(HF_Champion2,HF_EC_Abbrev1,HF_Fragments2)+SUMIF(HF_Champion3,HF_EC_Abbrev1,HF_Fragments3)+SUMIF(HF_Champion4,HF_EC_Abbrev1,HF_Fragments4)</f>
        <v>105</v>
      </c>
      <c r="H5" s="405"/>
      <c r="I5" s="406"/>
      <c r="J5" s="224"/>
      <c r="K5" s="404">
        <f>SUMIFS(HF_Fragments1,HF_Do1,"Yes",HF_Champion1,HF_EC_Abbrev1)+SUMIFS(HF_Fragments2,HF_Do2,"Yes",HF_Champion2,HF_EC_Abbrev1)+SUMIFS(HF_Fragments3,HF_Do3,"Yes",HF_Champion3,HF_EC_Abbrev1)+SUMIFS(HF_Fragments4,HF_Do4,"Yes",HF_Champion4,HF_EC_Abbrev1)</f>
        <v>65</v>
      </c>
      <c r="L5" s="405"/>
      <c r="M5" s="405"/>
      <c r="N5" s="405"/>
      <c r="O5" s="405"/>
      <c r="P5" s="405"/>
      <c r="Q5" s="405"/>
      <c r="R5" s="406"/>
      <c r="S5" s="225"/>
      <c r="T5" s="225"/>
      <c r="U5" s="225"/>
      <c r="V5" s="410">
        <f>SUM(AS37:AS58)+SUMIF(AM12:AM33,HF_EC_Abbrev1,AL12:AL33)+SUMIF(AO12:AO33,HF_EC_Abbrev1,AN12:AN233)</f>
        <v>0</v>
      </c>
      <c r="W5" s="411"/>
      <c r="X5" s="411"/>
      <c r="Y5" s="411"/>
      <c r="Z5" s="411"/>
      <c r="AA5" s="411"/>
      <c r="AB5" s="411"/>
      <c r="AC5" s="412"/>
      <c r="AD5" s="225"/>
      <c r="AE5" s="221"/>
      <c r="AF5" s="221"/>
      <c r="AG5" s="221"/>
      <c r="AH5" s="221"/>
      <c r="AI5" s="221"/>
      <c r="AJ5" s="221"/>
      <c r="AK5" s="221"/>
      <c r="AL5" s="221"/>
      <c r="AM5" s="221"/>
      <c r="AN5" s="221"/>
    </row>
    <row r="6" spans="2:69" ht="15.75" customHeight="1" x14ac:dyDescent="0.2">
      <c r="B6" s="226" t="s">
        <v>461</v>
      </c>
      <c r="C6" s="223" t="s">
        <v>21</v>
      </c>
      <c r="D6" s="223" t="s">
        <v>266</v>
      </c>
      <c r="E6" s="399" t="str">
        <f t="shared" ref="E6:E8" si="0">IF(V6&gt;=100,"Ready to fuse","")</f>
        <v/>
      </c>
      <c r="F6" s="400"/>
      <c r="G6" s="404">
        <f>SUMIF(HF_Champion1,HF_EC_Abbrev2,HF_Fragments1)+SUMIF(HF_Champion2,HF_EC_Abbrev2,HF_Fragments2)+SUMIF(HF_Champion3,HF_EC_Abbrev2,HF_Fragments3)+SUMIF(HF_Champion4,HF_EC_Abbrev2,HF_Fragments4)</f>
        <v>105</v>
      </c>
      <c r="H6" s="405"/>
      <c r="I6" s="406"/>
      <c r="J6" s="224"/>
      <c r="K6" s="404">
        <f>SUMIFS(HF_Fragments1,HF_Do1,"Yes",HF_Champion1,HF_EC_Abbrev2)+SUMIFS(HF_Fragments2,HF_Do2,"Yes",HF_Champion2,HF_EC_Abbrev2)+SUMIFS(HF_Fragments3,HF_Do3,"Yes",HF_Champion3,HF_EC_Abbrev2)+SUMIFS(HF_Fragments4,HF_Do4,"Yes",HF_Champion4,HF_EC_Abbrev2)</f>
        <v>90</v>
      </c>
      <c r="L6" s="405"/>
      <c r="M6" s="405"/>
      <c r="N6" s="405"/>
      <c r="O6" s="405"/>
      <c r="P6" s="405"/>
      <c r="Q6" s="405"/>
      <c r="R6" s="406"/>
      <c r="S6" s="225"/>
      <c r="T6" s="225"/>
      <c r="U6" s="225"/>
      <c r="V6" s="410">
        <f>SUM(AT37:AT58)+SUMIF(AM12:AM33,HF_EC_Abbrev2,AL12:AL33)+SUMIF(AO12:AO33,HF_EC_Abbrev2,AN12:AN233)</f>
        <v>0</v>
      </c>
      <c r="W6" s="411"/>
      <c r="X6" s="411"/>
      <c r="Y6" s="411"/>
      <c r="Z6" s="411"/>
      <c r="AA6" s="411"/>
      <c r="AB6" s="411"/>
      <c r="AC6" s="412"/>
      <c r="AD6" s="225"/>
      <c r="AE6" s="221"/>
      <c r="AF6" s="221"/>
      <c r="AG6" s="221"/>
      <c r="AH6" s="221"/>
      <c r="AI6" s="221"/>
      <c r="AJ6" s="221"/>
      <c r="AK6" s="221"/>
      <c r="AL6" s="221"/>
      <c r="AM6" s="221"/>
      <c r="AN6" s="221"/>
    </row>
    <row r="7" spans="2:69" ht="15.75" customHeight="1" x14ac:dyDescent="0.2">
      <c r="B7" s="226" t="s">
        <v>462</v>
      </c>
      <c r="C7" s="223" t="s">
        <v>21</v>
      </c>
      <c r="D7" s="223" t="s">
        <v>268</v>
      </c>
      <c r="E7" s="399" t="str">
        <f t="shared" si="0"/>
        <v/>
      </c>
      <c r="F7" s="400"/>
      <c r="G7" s="404">
        <f>SUMIF(HF_Champion1,HF_EC_Abbrev3,HF_Fragments1)+SUMIF(HF_Champion2,HF_EC_Abbrev3,HF_Fragments2)+SUMIF(HF_Champion3,HF_EC_Abbrev3,HF_Fragments3)+SUMIF(HF_Champion4,HF_EC_Abbrev3,HF_Fragments4)</f>
        <v>100</v>
      </c>
      <c r="H7" s="405"/>
      <c r="I7" s="406"/>
      <c r="J7" s="224"/>
      <c r="K7" s="404">
        <f>SUMIFS(HF_Fragments1,HF_Do1,"Yes",HF_Champion1,HF_EC_Abbrev3)+SUMIFS(HF_Fragments2,HF_Do2,"Yes",HF_Champion2,HF_EC_Abbrev3)+SUMIFS(HF_Fragments3,HF_Do3,"Yes",HF_Champion3,HF_EC_Abbrev3)+SUMIFS(HF_Fragments4,HF_Do4,"Yes",HF_Champion4,HF_EC_Abbrev3)</f>
        <v>45</v>
      </c>
      <c r="L7" s="405"/>
      <c r="M7" s="405"/>
      <c r="N7" s="405"/>
      <c r="O7" s="405"/>
      <c r="P7" s="405"/>
      <c r="Q7" s="405"/>
      <c r="R7" s="406"/>
      <c r="S7" s="225"/>
      <c r="T7" s="225"/>
      <c r="U7" s="225"/>
      <c r="V7" s="410">
        <f>SUM(AU37:AU58)+SUMIF(AM12:AM33,HF_EC_Abbrev3,AL12:AL33)+SUMIF(AO12:AO33,HF_EC_Abbrev3,AN12:AN233)</f>
        <v>0</v>
      </c>
      <c r="W7" s="411"/>
      <c r="X7" s="411"/>
      <c r="Y7" s="411"/>
      <c r="Z7" s="411"/>
      <c r="AA7" s="411"/>
      <c r="AB7" s="411"/>
      <c r="AC7" s="412"/>
      <c r="AD7" s="225"/>
      <c r="AE7" s="221"/>
      <c r="AF7" s="221"/>
      <c r="AG7" s="221"/>
      <c r="AH7" s="221"/>
      <c r="AI7" s="221"/>
      <c r="AJ7" s="221"/>
      <c r="AK7" s="221"/>
      <c r="AL7" s="221"/>
      <c r="AM7" s="221"/>
      <c r="AN7" s="221"/>
    </row>
    <row r="8" spans="2:69" ht="15.75" customHeight="1" thickBot="1" x14ac:dyDescent="0.25">
      <c r="B8" s="226" t="s">
        <v>419</v>
      </c>
      <c r="C8" s="223" t="s">
        <v>21</v>
      </c>
      <c r="D8" s="223" t="s">
        <v>265</v>
      </c>
      <c r="E8" s="399" t="str">
        <f t="shared" si="0"/>
        <v/>
      </c>
      <c r="F8" s="400"/>
      <c r="G8" s="407">
        <f>SUMIF(HF_Champion1,HF_EC_Abbrev4,HF_Fragments1)+SUMIF(HF_Champion2,HF_EC_Abbrev4,HF_Fragments2)+SUMIF(HF_Champion3,HF_EC_Abbrev4,HF_Fragments3)+SUMIF(HF_Champion4,HF_EC_Abbrev4,HF_Fragments4)</f>
        <v>105</v>
      </c>
      <c r="H8" s="408"/>
      <c r="I8" s="409"/>
      <c r="J8" s="224"/>
      <c r="K8" s="407">
        <f>SUMIFS(HF_Fragments1,HF_Do1,"Yes",HF_Champion1,HF_EC_Abbrev4)+SUMIFS(HF_Fragments2,HF_Do2,"Yes",HF_Champion2,HF_EC_Abbrev4)+SUMIFS(HF_Fragments3,HF_Do3,"Yes",HF_Champion3,HF_EC_Abbrev4)+SUMIFS(HF_Fragments4,HF_Do4,"Yes",HF_Champion4,HF_EC_Abbrev4)</f>
        <v>45</v>
      </c>
      <c r="L8" s="408"/>
      <c r="M8" s="408"/>
      <c r="N8" s="408"/>
      <c r="O8" s="408"/>
      <c r="P8" s="408"/>
      <c r="Q8" s="408"/>
      <c r="R8" s="409"/>
      <c r="S8" s="225"/>
      <c r="T8" s="225"/>
      <c r="U8" s="225"/>
      <c r="V8" s="413">
        <f>SUM(AV37:AV58)+SUMIF(AM12:AM33,HF_EC_Abbrev4,AL12:AL33)+SUMIF(AO12:AO33,HF_EC_Abbrev4,AN12:AN233)</f>
        <v>0</v>
      </c>
      <c r="W8" s="414"/>
      <c r="X8" s="414"/>
      <c r="Y8" s="414"/>
      <c r="Z8" s="414"/>
      <c r="AA8" s="414"/>
      <c r="AB8" s="414"/>
      <c r="AC8" s="415"/>
      <c r="AD8" s="225"/>
      <c r="AE8" s="225"/>
      <c r="AF8" s="225"/>
      <c r="AG8" s="225"/>
      <c r="AH8" s="225"/>
      <c r="AI8" s="225"/>
      <c r="AJ8" s="225"/>
      <c r="AK8" s="225"/>
    </row>
    <row r="9" spans="2:69" ht="4.5" customHeight="1" x14ac:dyDescent="0.2">
      <c r="B9" s="227"/>
      <c r="C9" s="228"/>
      <c r="D9" s="228"/>
      <c r="E9" s="228"/>
      <c r="F9" s="228"/>
      <c r="G9" s="227"/>
      <c r="H9" s="227"/>
      <c r="I9" s="227"/>
      <c r="J9" s="227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</row>
    <row r="10" spans="2:69" x14ac:dyDescent="0.2">
      <c r="E10" s="384" t="s">
        <v>337</v>
      </c>
      <c r="F10" s="384"/>
      <c r="G10" s="384"/>
      <c r="H10" s="384"/>
      <c r="I10" s="384" t="s">
        <v>338</v>
      </c>
      <c r="J10" s="384"/>
      <c r="K10" s="384"/>
      <c r="L10" s="384"/>
      <c r="M10" s="384"/>
      <c r="N10" s="384"/>
      <c r="O10" s="384"/>
      <c r="P10" s="384" t="s">
        <v>339</v>
      </c>
      <c r="Q10" s="384"/>
      <c r="R10" s="384"/>
      <c r="S10" s="384"/>
      <c r="T10" s="384"/>
      <c r="U10" s="384"/>
      <c r="V10" s="384"/>
      <c r="W10" s="384"/>
      <c r="X10" s="384"/>
      <c r="Y10" s="384"/>
      <c r="Z10" s="384"/>
      <c r="AA10" s="384" t="s">
        <v>340</v>
      </c>
      <c r="AB10" s="384"/>
      <c r="AC10" s="384"/>
      <c r="AD10" s="384"/>
      <c r="AE10" s="384"/>
      <c r="AF10" s="384"/>
      <c r="AG10" s="384"/>
      <c r="AH10" s="384"/>
      <c r="AI10" s="384"/>
      <c r="AJ10" s="384"/>
      <c r="AK10" s="384"/>
      <c r="AL10" s="380" t="s">
        <v>417</v>
      </c>
      <c r="AM10" s="381"/>
      <c r="AN10" s="381"/>
      <c r="AO10" s="382"/>
    </row>
    <row r="11" spans="2:69" x14ac:dyDescent="0.2">
      <c r="B11" s="229" t="s">
        <v>343</v>
      </c>
      <c r="C11" s="230" t="s">
        <v>344</v>
      </c>
      <c r="D11" s="231" t="s">
        <v>345</v>
      </c>
      <c r="E11" s="230" t="s">
        <v>415</v>
      </c>
      <c r="F11" s="230" t="s">
        <v>416</v>
      </c>
      <c r="G11" s="230" t="s">
        <v>347</v>
      </c>
      <c r="H11" s="230" t="s">
        <v>348</v>
      </c>
      <c r="I11" s="230" t="s">
        <v>415</v>
      </c>
      <c r="J11" s="230" t="s">
        <v>416</v>
      </c>
      <c r="K11" s="383" t="s">
        <v>347</v>
      </c>
      <c r="L11" s="383"/>
      <c r="M11" s="383"/>
      <c r="N11" s="383" t="s">
        <v>348</v>
      </c>
      <c r="O11" s="383"/>
      <c r="P11" s="383" t="s">
        <v>415</v>
      </c>
      <c r="Q11" s="383"/>
      <c r="R11" s="383"/>
      <c r="S11" s="385" t="s">
        <v>416</v>
      </c>
      <c r="T11" s="386"/>
      <c r="U11" s="387"/>
      <c r="V11" s="383" t="s">
        <v>347</v>
      </c>
      <c r="W11" s="383"/>
      <c r="X11" s="383"/>
      <c r="Y11" s="383" t="s">
        <v>348</v>
      </c>
      <c r="Z11" s="383"/>
      <c r="AA11" s="383" t="s">
        <v>415</v>
      </c>
      <c r="AB11" s="383"/>
      <c r="AC11" s="383"/>
      <c r="AD11" s="385" t="s">
        <v>416</v>
      </c>
      <c r="AE11" s="386"/>
      <c r="AF11" s="387"/>
      <c r="AG11" s="383" t="s">
        <v>347</v>
      </c>
      <c r="AH11" s="383"/>
      <c r="AI11" s="383"/>
      <c r="AJ11" s="383" t="s">
        <v>348</v>
      </c>
      <c r="AK11" s="383"/>
      <c r="AL11" s="230" t="s">
        <v>415</v>
      </c>
      <c r="AM11" s="230" t="s">
        <v>416</v>
      </c>
      <c r="AN11" s="230" t="s">
        <v>415</v>
      </c>
      <c r="AO11" s="230" t="s">
        <v>416</v>
      </c>
      <c r="BP11" s="232"/>
      <c r="BQ11" s="232"/>
    </row>
    <row r="12" spans="2:69" x14ac:dyDescent="0.2">
      <c r="B12" s="233" t="s">
        <v>354</v>
      </c>
      <c r="C12" s="234">
        <v>44299</v>
      </c>
      <c r="D12" s="235">
        <v>4</v>
      </c>
      <c r="E12" s="236">
        <v>15</v>
      </c>
      <c r="F12" s="236" t="s">
        <v>420</v>
      </c>
      <c r="G12" s="215">
        <v>2000</v>
      </c>
      <c r="H12" s="352" t="s">
        <v>350</v>
      </c>
      <c r="I12" s="236"/>
      <c r="J12" s="236"/>
      <c r="K12" s="391"/>
      <c r="L12" s="392"/>
      <c r="M12" s="393"/>
      <c r="N12" s="394"/>
      <c r="O12" s="395"/>
      <c r="P12" s="388"/>
      <c r="Q12" s="389"/>
      <c r="R12" s="390"/>
      <c r="S12" s="388"/>
      <c r="T12" s="389"/>
      <c r="U12" s="390"/>
      <c r="V12" s="391"/>
      <c r="W12" s="392"/>
      <c r="X12" s="393"/>
      <c r="Y12" s="394"/>
      <c r="Z12" s="395"/>
      <c r="AA12" s="388"/>
      <c r="AB12" s="389"/>
      <c r="AC12" s="390"/>
      <c r="AD12" s="388"/>
      <c r="AE12" s="389"/>
      <c r="AF12" s="390"/>
      <c r="AG12" s="391"/>
      <c r="AH12" s="392"/>
      <c r="AI12" s="393"/>
      <c r="AJ12" s="394"/>
      <c r="AK12" s="395"/>
      <c r="AL12" s="351"/>
      <c r="AM12" s="238"/>
      <c r="AN12" s="351"/>
      <c r="AO12" s="237"/>
      <c r="BP12" s="232"/>
      <c r="BQ12" s="232"/>
    </row>
    <row r="13" spans="2:69" x14ac:dyDescent="0.2">
      <c r="B13" s="239" t="s">
        <v>351</v>
      </c>
      <c r="C13" s="234">
        <v>44299</v>
      </c>
      <c r="D13" s="235">
        <v>4</v>
      </c>
      <c r="E13" s="236">
        <v>15</v>
      </c>
      <c r="F13" s="236" t="s">
        <v>421</v>
      </c>
      <c r="G13" s="215">
        <v>2050</v>
      </c>
      <c r="H13" s="352" t="s">
        <v>350</v>
      </c>
      <c r="I13" s="236"/>
      <c r="J13" s="236"/>
      <c r="K13" s="391"/>
      <c r="L13" s="392"/>
      <c r="M13" s="393"/>
      <c r="N13" s="394"/>
      <c r="O13" s="395"/>
      <c r="P13" s="388"/>
      <c r="Q13" s="389"/>
      <c r="R13" s="390"/>
      <c r="S13" s="388"/>
      <c r="T13" s="389"/>
      <c r="U13" s="390"/>
      <c r="V13" s="391"/>
      <c r="W13" s="392"/>
      <c r="X13" s="393"/>
      <c r="Y13" s="394"/>
      <c r="Z13" s="395"/>
      <c r="AA13" s="388"/>
      <c r="AB13" s="389"/>
      <c r="AC13" s="390"/>
      <c r="AD13" s="388"/>
      <c r="AE13" s="389"/>
      <c r="AF13" s="390"/>
      <c r="AG13" s="391"/>
      <c r="AH13" s="392"/>
      <c r="AI13" s="393"/>
      <c r="AJ13" s="394"/>
      <c r="AK13" s="395"/>
      <c r="AL13" s="351"/>
      <c r="AM13" s="238" t="s">
        <v>421</v>
      </c>
      <c r="AN13" s="351"/>
      <c r="AO13" s="237"/>
      <c r="BP13" s="232"/>
      <c r="BQ13" s="232"/>
    </row>
    <row r="14" spans="2:69" x14ac:dyDescent="0.2">
      <c r="B14" s="239" t="s">
        <v>459</v>
      </c>
      <c r="C14" s="234">
        <v>44301</v>
      </c>
      <c r="D14" s="235">
        <v>6</v>
      </c>
      <c r="E14" s="236">
        <v>15</v>
      </c>
      <c r="F14" s="236" t="s">
        <v>419</v>
      </c>
      <c r="G14" s="215">
        <v>455</v>
      </c>
      <c r="H14" s="352" t="s">
        <v>350</v>
      </c>
      <c r="I14" s="236"/>
      <c r="J14" s="236"/>
      <c r="K14" s="391"/>
      <c r="L14" s="392"/>
      <c r="M14" s="393"/>
      <c r="N14" s="394"/>
      <c r="O14" s="395"/>
      <c r="P14" s="388"/>
      <c r="Q14" s="389"/>
      <c r="R14" s="390"/>
      <c r="S14" s="388"/>
      <c r="T14" s="389"/>
      <c r="U14" s="390"/>
      <c r="V14" s="391"/>
      <c r="W14" s="392"/>
      <c r="X14" s="393"/>
      <c r="Y14" s="394"/>
      <c r="Z14" s="395"/>
      <c r="AA14" s="388"/>
      <c r="AB14" s="389"/>
      <c r="AC14" s="390"/>
      <c r="AD14" s="388"/>
      <c r="AE14" s="389"/>
      <c r="AF14" s="390"/>
      <c r="AG14" s="391"/>
      <c r="AH14" s="392"/>
      <c r="AI14" s="393"/>
      <c r="AJ14" s="394"/>
      <c r="AK14" s="395"/>
      <c r="AL14" s="351"/>
      <c r="AM14" s="238" t="s">
        <v>419</v>
      </c>
      <c r="AN14" s="351"/>
      <c r="AO14" s="237"/>
      <c r="BP14" s="232"/>
      <c r="BQ14" s="232"/>
    </row>
    <row r="15" spans="2:69" x14ac:dyDescent="0.2">
      <c r="B15" s="239" t="s">
        <v>364</v>
      </c>
      <c r="C15" s="234">
        <v>44302</v>
      </c>
      <c r="D15" s="235">
        <v>4</v>
      </c>
      <c r="E15" s="236">
        <v>15</v>
      </c>
      <c r="F15" s="236" t="s">
        <v>419</v>
      </c>
      <c r="G15" s="215">
        <v>1150</v>
      </c>
      <c r="H15" s="352" t="s">
        <v>350</v>
      </c>
      <c r="I15" s="236">
        <v>20</v>
      </c>
      <c r="J15" s="236" t="s">
        <v>418</v>
      </c>
      <c r="K15" s="391">
        <v>2500</v>
      </c>
      <c r="L15" s="392"/>
      <c r="M15" s="393"/>
      <c r="N15" s="394" t="s">
        <v>222</v>
      </c>
      <c r="O15" s="395"/>
      <c r="P15" s="388"/>
      <c r="Q15" s="389"/>
      <c r="R15" s="390"/>
      <c r="S15" s="388"/>
      <c r="T15" s="389"/>
      <c r="U15" s="390"/>
      <c r="V15" s="391"/>
      <c r="W15" s="392"/>
      <c r="X15" s="393"/>
      <c r="Y15" s="394"/>
      <c r="Z15" s="395"/>
      <c r="AA15" s="388"/>
      <c r="AB15" s="389"/>
      <c r="AC15" s="390"/>
      <c r="AD15" s="388"/>
      <c r="AE15" s="389"/>
      <c r="AF15" s="390"/>
      <c r="AG15" s="391"/>
      <c r="AH15" s="392"/>
      <c r="AI15" s="393"/>
      <c r="AJ15" s="394"/>
      <c r="AK15" s="395"/>
      <c r="AL15" s="351"/>
      <c r="AM15" s="238" t="s">
        <v>418</v>
      </c>
      <c r="AN15" s="351"/>
      <c r="AO15" s="237" t="s">
        <v>419</v>
      </c>
      <c r="BP15" s="232"/>
      <c r="BQ15" s="232"/>
    </row>
    <row r="16" spans="2:69" x14ac:dyDescent="0.2">
      <c r="B16" s="239" t="s">
        <v>367</v>
      </c>
      <c r="C16" s="234">
        <v>44302</v>
      </c>
      <c r="D16" s="235">
        <v>8</v>
      </c>
      <c r="E16" s="236">
        <v>15</v>
      </c>
      <c r="F16" s="236" t="s">
        <v>420</v>
      </c>
      <c r="G16" s="215">
        <v>2500</v>
      </c>
      <c r="H16" s="352" t="s">
        <v>350</v>
      </c>
      <c r="I16" s="236">
        <v>15</v>
      </c>
      <c r="J16" s="236" t="s">
        <v>421</v>
      </c>
      <c r="K16" s="391">
        <v>4150</v>
      </c>
      <c r="L16" s="392"/>
      <c r="M16" s="393"/>
      <c r="N16" s="394" t="s">
        <v>222</v>
      </c>
      <c r="O16" s="395"/>
      <c r="P16" s="388">
        <v>20</v>
      </c>
      <c r="Q16" s="389"/>
      <c r="R16" s="390"/>
      <c r="S16" s="388" t="s">
        <v>419</v>
      </c>
      <c r="T16" s="389"/>
      <c r="U16" s="390"/>
      <c r="V16" s="391">
        <v>7300</v>
      </c>
      <c r="W16" s="392"/>
      <c r="X16" s="393"/>
      <c r="Y16" s="394" t="s">
        <v>222</v>
      </c>
      <c r="Z16" s="395"/>
      <c r="AA16" s="388">
        <v>20</v>
      </c>
      <c r="AB16" s="389"/>
      <c r="AC16" s="390"/>
      <c r="AD16" s="388" t="s">
        <v>418</v>
      </c>
      <c r="AE16" s="389"/>
      <c r="AF16" s="390"/>
      <c r="AG16" s="391">
        <v>12750</v>
      </c>
      <c r="AH16" s="392"/>
      <c r="AI16" s="393"/>
      <c r="AJ16" s="394" t="s">
        <v>222</v>
      </c>
      <c r="AK16" s="395"/>
      <c r="AL16" s="351"/>
      <c r="AM16" s="238"/>
      <c r="AN16" s="351"/>
      <c r="AO16" s="237"/>
      <c r="BP16" s="232"/>
      <c r="BQ16" s="232"/>
    </row>
    <row r="17" spans="2:69" x14ac:dyDescent="0.2">
      <c r="B17" s="239" t="s">
        <v>360</v>
      </c>
      <c r="C17" s="234">
        <v>44303</v>
      </c>
      <c r="D17" s="235">
        <v>4</v>
      </c>
      <c r="E17" s="236">
        <v>20</v>
      </c>
      <c r="F17" s="236" t="s">
        <v>421</v>
      </c>
      <c r="G17" s="215">
        <v>1800</v>
      </c>
      <c r="H17" s="352" t="s">
        <v>350</v>
      </c>
      <c r="I17" s="236"/>
      <c r="J17" s="236"/>
      <c r="K17" s="391"/>
      <c r="L17" s="392"/>
      <c r="M17" s="393"/>
      <c r="N17" s="394"/>
      <c r="O17" s="395"/>
      <c r="P17" s="388"/>
      <c r="Q17" s="389"/>
      <c r="R17" s="390"/>
      <c r="S17" s="388"/>
      <c r="T17" s="389"/>
      <c r="U17" s="390"/>
      <c r="V17" s="391"/>
      <c r="W17" s="392"/>
      <c r="X17" s="393"/>
      <c r="Y17" s="394"/>
      <c r="Z17" s="395"/>
      <c r="AA17" s="388"/>
      <c r="AB17" s="389"/>
      <c r="AC17" s="390"/>
      <c r="AD17" s="388"/>
      <c r="AE17" s="389"/>
      <c r="AF17" s="390"/>
      <c r="AG17" s="391"/>
      <c r="AH17" s="392"/>
      <c r="AI17" s="393"/>
      <c r="AJ17" s="394"/>
      <c r="AK17" s="395"/>
      <c r="AL17" s="351"/>
      <c r="AM17" s="238" t="s">
        <v>421</v>
      </c>
      <c r="AN17" s="351"/>
      <c r="AO17" s="237"/>
      <c r="BP17" s="232"/>
      <c r="BQ17" s="232"/>
    </row>
    <row r="18" spans="2:69" x14ac:dyDescent="0.2">
      <c r="B18" s="239" t="s">
        <v>456</v>
      </c>
      <c r="C18" s="234">
        <v>44304</v>
      </c>
      <c r="D18" s="235">
        <v>5</v>
      </c>
      <c r="E18" s="236">
        <v>15</v>
      </c>
      <c r="F18" s="236" t="s">
        <v>420</v>
      </c>
      <c r="G18" s="215">
        <v>1500</v>
      </c>
      <c r="H18" s="352" t="s">
        <v>350</v>
      </c>
      <c r="I18" s="236">
        <v>20</v>
      </c>
      <c r="J18" s="236" t="s">
        <v>419</v>
      </c>
      <c r="K18" s="391">
        <v>2875</v>
      </c>
      <c r="L18" s="392"/>
      <c r="M18" s="393"/>
      <c r="N18" s="394" t="s">
        <v>222</v>
      </c>
      <c r="O18" s="395"/>
      <c r="P18" s="388"/>
      <c r="Q18" s="389"/>
      <c r="R18" s="390"/>
      <c r="S18" s="388"/>
      <c r="T18" s="389"/>
      <c r="U18" s="390"/>
      <c r="V18" s="391"/>
      <c r="W18" s="392"/>
      <c r="X18" s="393"/>
      <c r="Y18" s="394"/>
      <c r="Z18" s="395"/>
      <c r="AA18" s="388"/>
      <c r="AB18" s="389"/>
      <c r="AC18" s="390"/>
      <c r="AD18" s="388"/>
      <c r="AE18" s="389"/>
      <c r="AF18" s="390"/>
      <c r="AG18" s="391"/>
      <c r="AH18" s="392"/>
      <c r="AI18" s="393"/>
      <c r="AJ18" s="394"/>
      <c r="AK18" s="395"/>
      <c r="AL18" s="351"/>
      <c r="AM18" s="238"/>
      <c r="AN18" s="351"/>
      <c r="AO18" s="237"/>
      <c r="BP18" s="232"/>
      <c r="BQ18" s="232"/>
    </row>
    <row r="19" spans="2:69" x14ac:dyDescent="0.2">
      <c r="B19" s="239" t="s">
        <v>359</v>
      </c>
      <c r="C19" s="234">
        <v>44306</v>
      </c>
      <c r="D19" s="235">
        <v>4</v>
      </c>
      <c r="E19" s="236">
        <v>20</v>
      </c>
      <c r="F19" s="236" t="s">
        <v>420</v>
      </c>
      <c r="G19" s="215">
        <v>1800</v>
      </c>
      <c r="H19" s="352" t="s">
        <v>350</v>
      </c>
      <c r="I19" s="236"/>
      <c r="J19" s="236"/>
      <c r="K19" s="391"/>
      <c r="L19" s="392"/>
      <c r="M19" s="393"/>
      <c r="N19" s="394"/>
      <c r="O19" s="395"/>
      <c r="P19" s="388"/>
      <c r="Q19" s="389"/>
      <c r="R19" s="390"/>
      <c r="S19" s="388"/>
      <c r="T19" s="389"/>
      <c r="U19" s="390"/>
      <c r="V19" s="391"/>
      <c r="W19" s="392"/>
      <c r="X19" s="393"/>
      <c r="Y19" s="394"/>
      <c r="Z19" s="395"/>
      <c r="AA19" s="388"/>
      <c r="AB19" s="389"/>
      <c r="AC19" s="390"/>
      <c r="AD19" s="388"/>
      <c r="AE19" s="389"/>
      <c r="AF19" s="390"/>
      <c r="AG19" s="391"/>
      <c r="AH19" s="392"/>
      <c r="AI19" s="393"/>
      <c r="AJ19" s="394"/>
      <c r="AK19" s="395"/>
      <c r="AL19" s="351"/>
      <c r="AM19" s="238" t="s">
        <v>420</v>
      </c>
      <c r="AN19" s="351"/>
      <c r="AO19" s="237"/>
      <c r="BP19" s="232"/>
      <c r="BQ19" s="232"/>
    </row>
    <row r="20" spans="2:69" x14ac:dyDescent="0.2">
      <c r="B20" s="239" t="s">
        <v>363</v>
      </c>
      <c r="C20" s="234">
        <v>44306</v>
      </c>
      <c r="D20" s="235">
        <v>5</v>
      </c>
      <c r="E20" s="236">
        <v>25</v>
      </c>
      <c r="F20" s="236" t="s">
        <v>421</v>
      </c>
      <c r="G20" s="215">
        <v>3300</v>
      </c>
      <c r="H20" s="352" t="s">
        <v>350</v>
      </c>
      <c r="I20" s="236"/>
      <c r="J20" s="236"/>
      <c r="K20" s="391"/>
      <c r="L20" s="392"/>
      <c r="M20" s="393"/>
      <c r="N20" s="394"/>
      <c r="O20" s="395"/>
      <c r="P20" s="388"/>
      <c r="Q20" s="389"/>
      <c r="R20" s="390"/>
      <c r="S20" s="388"/>
      <c r="T20" s="389"/>
      <c r="U20" s="390"/>
      <c r="V20" s="391"/>
      <c r="W20" s="392"/>
      <c r="X20" s="393"/>
      <c r="Y20" s="394"/>
      <c r="Z20" s="395"/>
      <c r="AA20" s="388"/>
      <c r="AB20" s="389"/>
      <c r="AC20" s="390"/>
      <c r="AD20" s="388"/>
      <c r="AE20" s="389"/>
      <c r="AF20" s="390"/>
      <c r="AG20" s="391"/>
      <c r="AH20" s="392"/>
      <c r="AI20" s="393"/>
      <c r="AJ20" s="394"/>
      <c r="AK20" s="395"/>
      <c r="AL20" s="351"/>
      <c r="AM20" s="238"/>
      <c r="AN20" s="351"/>
      <c r="AO20" s="237"/>
      <c r="BP20" s="232"/>
      <c r="BQ20" s="232"/>
    </row>
    <row r="21" spans="2:69" x14ac:dyDescent="0.2">
      <c r="B21" s="239" t="s">
        <v>460</v>
      </c>
      <c r="C21" s="234">
        <v>44309</v>
      </c>
      <c r="D21" s="235">
        <v>3</v>
      </c>
      <c r="E21" s="236">
        <v>15</v>
      </c>
      <c r="F21" s="236" t="s">
        <v>421</v>
      </c>
      <c r="G21" s="215">
        <v>140</v>
      </c>
      <c r="H21" s="352" t="s">
        <v>350</v>
      </c>
      <c r="I21" s="236"/>
      <c r="J21" s="236"/>
      <c r="K21" s="391"/>
      <c r="L21" s="392"/>
      <c r="M21" s="393"/>
      <c r="N21" s="394"/>
      <c r="O21" s="395"/>
      <c r="P21" s="388"/>
      <c r="Q21" s="389"/>
      <c r="R21" s="390"/>
      <c r="S21" s="388"/>
      <c r="T21" s="389"/>
      <c r="U21" s="390"/>
      <c r="V21" s="391"/>
      <c r="W21" s="392"/>
      <c r="X21" s="393"/>
      <c r="Y21" s="394"/>
      <c r="Z21" s="395"/>
      <c r="AA21" s="388"/>
      <c r="AB21" s="389"/>
      <c r="AC21" s="390"/>
      <c r="AD21" s="388"/>
      <c r="AE21" s="389"/>
      <c r="AF21" s="390"/>
      <c r="AG21" s="391"/>
      <c r="AH21" s="392"/>
      <c r="AI21" s="393"/>
      <c r="AJ21" s="394"/>
      <c r="AK21" s="395"/>
      <c r="AL21" s="351"/>
      <c r="AM21" s="238" t="s">
        <v>421</v>
      </c>
      <c r="AN21" s="351"/>
      <c r="AO21" s="237"/>
      <c r="BP21" s="232"/>
      <c r="BQ21" s="232"/>
    </row>
    <row r="22" spans="2:69" x14ac:dyDescent="0.2">
      <c r="B22" s="239" t="s">
        <v>355</v>
      </c>
      <c r="C22" s="234">
        <v>44309</v>
      </c>
      <c r="D22" s="235">
        <v>4</v>
      </c>
      <c r="E22" s="236">
        <v>15</v>
      </c>
      <c r="F22" s="236" t="s">
        <v>418</v>
      </c>
      <c r="G22" s="215">
        <v>1400</v>
      </c>
      <c r="H22" s="352" t="s">
        <v>350</v>
      </c>
      <c r="I22" s="236">
        <v>20</v>
      </c>
      <c r="J22" s="236" t="s">
        <v>419</v>
      </c>
      <c r="K22" s="391">
        <v>3000</v>
      </c>
      <c r="L22" s="392"/>
      <c r="M22" s="393"/>
      <c r="N22" s="394" t="s">
        <v>222</v>
      </c>
      <c r="O22" s="395"/>
      <c r="P22" s="388"/>
      <c r="Q22" s="389"/>
      <c r="R22" s="390"/>
      <c r="S22" s="388"/>
      <c r="T22" s="389"/>
      <c r="U22" s="390"/>
      <c r="V22" s="391"/>
      <c r="W22" s="392"/>
      <c r="X22" s="393"/>
      <c r="Y22" s="394"/>
      <c r="Z22" s="395"/>
      <c r="AA22" s="388"/>
      <c r="AB22" s="389"/>
      <c r="AC22" s="390"/>
      <c r="AD22" s="388"/>
      <c r="AE22" s="389"/>
      <c r="AF22" s="390"/>
      <c r="AG22" s="391"/>
      <c r="AH22" s="392"/>
      <c r="AI22" s="393"/>
      <c r="AJ22" s="394"/>
      <c r="AK22" s="395"/>
      <c r="AL22" s="351"/>
      <c r="AM22" s="238"/>
      <c r="AN22" s="351"/>
      <c r="AO22" s="237"/>
      <c r="BP22" s="232"/>
      <c r="BQ22" s="232"/>
    </row>
    <row r="23" spans="2:69" x14ac:dyDescent="0.2">
      <c r="B23" s="239" t="s">
        <v>369</v>
      </c>
      <c r="C23" s="234">
        <v>44310</v>
      </c>
      <c r="D23" s="235">
        <v>4</v>
      </c>
      <c r="E23" s="236">
        <v>15</v>
      </c>
      <c r="F23" s="236" t="s">
        <v>418</v>
      </c>
      <c r="G23" s="215">
        <v>2050</v>
      </c>
      <c r="H23" s="352" t="s">
        <v>350</v>
      </c>
      <c r="I23" s="236"/>
      <c r="J23" s="236"/>
      <c r="K23" s="391"/>
      <c r="L23" s="392"/>
      <c r="M23" s="393"/>
      <c r="N23" s="394"/>
      <c r="O23" s="395"/>
      <c r="P23" s="388"/>
      <c r="Q23" s="389"/>
      <c r="R23" s="390"/>
      <c r="S23" s="388"/>
      <c r="T23" s="389"/>
      <c r="U23" s="390"/>
      <c r="V23" s="391"/>
      <c r="W23" s="392"/>
      <c r="X23" s="393"/>
      <c r="Y23" s="394"/>
      <c r="Z23" s="395"/>
      <c r="AA23" s="388"/>
      <c r="AB23" s="389"/>
      <c r="AC23" s="390"/>
      <c r="AD23" s="388"/>
      <c r="AE23" s="389"/>
      <c r="AF23" s="390"/>
      <c r="AG23" s="391"/>
      <c r="AH23" s="392"/>
      <c r="AI23" s="393"/>
      <c r="AJ23" s="394"/>
      <c r="AK23" s="395"/>
      <c r="AL23" s="351"/>
      <c r="AM23" s="238" t="s">
        <v>418</v>
      </c>
      <c r="AN23" s="351"/>
      <c r="AO23" s="237"/>
      <c r="BP23" s="232"/>
      <c r="BQ23" s="232"/>
    </row>
    <row r="24" spans="2:69" x14ac:dyDescent="0.2">
      <c r="B24" s="239" t="s">
        <v>457</v>
      </c>
      <c r="C24" s="234">
        <v>44310</v>
      </c>
      <c r="D24" s="235">
        <v>6</v>
      </c>
      <c r="E24" s="236">
        <v>15</v>
      </c>
      <c r="F24" s="236" t="s">
        <v>421</v>
      </c>
      <c r="G24" s="215">
        <v>950</v>
      </c>
      <c r="H24" s="352" t="s">
        <v>350</v>
      </c>
      <c r="I24" s="236">
        <v>15</v>
      </c>
      <c r="J24" s="236" t="s">
        <v>418</v>
      </c>
      <c r="K24" s="391">
        <v>2150</v>
      </c>
      <c r="L24" s="392"/>
      <c r="M24" s="393"/>
      <c r="N24" s="394" t="s">
        <v>222</v>
      </c>
      <c r="O24" s="395"/>
      <c r="P24" s="388">
        <v>20</v>
      </c>
      <c r="Q24" s="389"/>
      <c r="R24" s="390"/>
      <c r="S24" s="388" t="s">
        <v>420</v>
      </c>
      <c r="T24" s="389"/>
      <c r="U24" s="390"/>
      <c r="V24" s="391">
        <v>3625</v>
      </c>
      <c r="W24" s="392"/>
      <c r="X24" s="393"/>
      <c r="Y24" s="394" t="s">
        <v>222</v>
      </c>
      <c r="Z24" s="395"/>
      <c r="AA24" s="388"/>
      <c r="AB24" s="389"/>
      <c r="AC24" s="390"/>
      <c r="AD24" s="388"/>
      <c r="AE24" s="389"/>
      <c r="AF24" s="390"/>
      <c r="AG24" s="391"/>
      <c r="AH24" s="392"/>
      <c r="AI24" s="393"/>
      <c r="AJ24" s="394"/>
      <c r="AK24" s="395"/>
      <c r="AL24" s="351"/>
      <c r="AM24" s="238"/>
      <c r="AN24" s="351"/>
      <c r="AO24" s="237"/>
      <c r="BP24" s="232"/>
      <c r="BQ24" s="232"/>
    </row>
    <row r="25" spans="2:69" x14ac:dyDescent="0.2">
      <c r="B25" s="239" t="s">
        <v>458</v>
      </c>
      <c r="C25" s="234">
        <v>44311</v>
      </c>
      <c r="D25" s="235">
        <v>4</v>
      </c>
      <c r="E25" s="236">
        <v>15</v>
      </c>
      <c r="F25" s="236" t="s">
        <v>418</v>
      </c>
      <c r="G25" s="215">
        <v>3300</v>
      </c>
      <c r="H25" s="352" t="s">
        <v>350</v>
      </c>
      <c r="I25" s="236"/>
      <c r="J25" s="236"/>
      <c r="K25" s="391"/>
      <c r="L25" s="392"/>
      <c r="M25" s="393"/>
      <c r="N25" s="394"/>
      <c r="O25" s="395"/>
      <c r="P25" s="388"/>
      <c r="Q25" s="389"/>
      <c r="R25" s="390"/>
      <c r="S25" s="388"/>
      <c r="T25" s="389"/>
      <c r="U25" s="390"/>
      <c r="V25" s="391"/>
      <c r="W25" s="392"/>
      <c r="X25" s="393"/>
      <c r="Y25" s="394"/>
      <c r="Z25" s="395"/>
      <c r="AA25" s="388"/>
      <c r="AB25" s="389"/>
      <c r="AC25" s="390"/>
      <c r="AD25" s="388"/>
      <c r="AE25" s="389"/>
      <c r="AF25" s="390"/>
      <c r="AG25" s="391"/>
      <c r="AH25" s="392"/>
      <c r="AI25" s="393"/>
      <c r="AJ25" s="394"/>
      <c r="AK25" s="395"/>
      <c r="AL25" s="351"/>
      <c r="AM25" s="238"/>
      <c r="AN25" s="351"/>
      <c r="AO25" s="237"/>
      <c r="BP25" s="232"/>
      <c r="BQ25" s="232"/>
    </row>
    <row r="26" spans="2:69" x14ac:dyDescent="0.2">
      <c r="B26" s="239" t="s">
        <v>357</v>
      </c>
      <c r="C26" s="234">
        <v>44311</v>
      </c>
      <c r="D26" s="235">
        <v>4</v>
      </c>
      <c r="E26" s="236">
        <v>15</v>
      </c>
      <c r="F26" s="236" t="s">
        <v>419</v>
      </c>
      <c r="G26" s="215">
        <v>2125</v>
      </c>
      <c r="H26" s="352" t="s">
        <v>350</v>
      </c>
      <c r="I26" s="236">
        <v>20</v>
      </c>
      <c r="J26" s="236" t="s">
        <v>420</v>
      </c>
      <c r="K26" s="391">
        <v>4200</v>
      </c>
      <c r="L26" s="392"/>
      <c r="M26" s="393"/>
      <c r="N26" s="394" t="s">
        <v>222</v>
      </c>
      <c r="O26" s="395"/>
      <c r="P26" s="388"/>
      <c r="Q26" s="389"/>
      <c r="R26" s="390"/>
      <c r="S26" s="388"/>
      <c r="T26" s="389"/>
      <c r="U26" s="390"/>
      <c r="V26" s="391"/>
      <c r="W26" s="392"/>
      <c r="X26" s="393"/>
      <c r="Y26" s="394"/>
      <c r="Z26" s="395"/>
      <c r="AA26" s="388"/>
      <c r="AB26" s="389"/>
      <c r="AC26" s="390"/>
      <c r="AD26" s="388"/>
      <c r="AE26" s="389"/>
      <c r="AF26" s="390"/>
      <c r="AG26" s="391"/>
      <c r="AH26" s="392"/>
      <c r="AI26" s="393"/>
      <c r="AJ26" s="394"/>
      <c r="AK26" s="395"/>
      <c r="AL26" s="351"/>
      <c r="AM26" s="238" t="s">
        <v>420</v>
      </c>
      <c r="AN26" s="351"/>
      <c r="AO26" s="237" t="s">
        <v>419</v>
      </c>
      <c r="BP26" s="232"/>
      <c r="BQ26" s="232"/>
    </row>
    <row r="27" spans="2:69" ht="15" hidden="1" customHeight="1" x14ac:dyDescent="0.2">
      <c r="B27" s="239"/>
      <c r="C27" s="234"/>
      <c r="D27" s="235"/>
      <c r="E27" s="236"/>
      <c r="F27" s="236"/>
      <c r="G27" s="215"/>
      <c r="H27" s="352"/>
      <c r="I27" s="236"/>
      <c r="J27" s="236"/>
      <c r="K27" s="391"/>
      <c r="L27" s="392"/>
      <c r="M27" s="393"/>
      <c r="N27" s="394"/>
      <c r="O27" s="395"/>
      <c r="P27" s="388"/>
      <c r="Q27" s="389"/>
      <c r="R27" s="390"/>
      <c r="S27" s="388"/>
      <c r="T27" s="389"/>
      <c r="U27" s="390"/>
      <c r="V27" s="391"/>
      <c r="W27" s="392"/>
      <c r="X27" s="393"/>
      <c r="Y27" s="394"/>
      <c r="Z27" s="395"/>
      <c r="AA27" s="388"/>
      <c r="AB27" s="389"/>
      <c r="AC27" s="390"/>
      <c r="AD27" s="388"/>
      <c r="AE27" s="389"/>
      <c r="AF27" s="390"/>
      <c r="AG27" s="391"/>
      <c r="AH27" s="392"/>
      <c r="AI27" s="393"/>
      <c r="AJ27" s="394"/>
      <c r="AK27" s="395"/>
      <c r="AL27" s="351"/>
      <c r="AM27" s="238"/>
      <c r="AN27" s="351"/>
      <c r="AO27" s="237"/>
      <c r="BP27" s="232"/>
      <c r="BQ27" s="232"/>
    </row>
    <row r="28" spans="2:69" ht="15" hidden="1" customHeight="1" x14ac:dyDescent="0.2">
      <c r="B28" s="239"/>
      <c r="C28" s="234"/>
      <c r="D28" s="235"/>
      <c r="E28" s="236"/>
      <c r="F28" s="236"/>
      <c r="G28" s="215"/>
      <c r="H28" s="352"/>
      <c r="I28" s="236"/>
      <c r="J28" s="236"/>
      <c r="K28" s="391"/>
      <c r="L28" s="392"/>
      <c r="M28" s="393"/>
      <c r="N28" s="394"/>
      <c r="O28" s="395"/>
      <c r="P28" s="388"/>
      <c r="Q28" s="389"/>
      <c r="R28" s="390"/>
      <c r="S28" s="388"/>
      <c r="T28" s="389"/>
      <c r="U28" s="390"/>
      <c r="V28" s="391"/>
      <c r="W28" s="392"/>
      <c r="X28" s="393"/>
      <c r="Y28" s="394"/>
      <c r="Z28" s="395"/>
      <c r="AA28" s="388"/>
      <c r="AB28" s="389"/>
      <c r="AC28" s="390"/>
      <c r="AD28" s="388"/>
      <c r="AE28" s="389"/>
      <c r="AF28" s="390"/>
      <c r="AG28" s="391"/>
      <c r="AH28" s="392"/>
      <c r="AI28" s="393"/>
      <c r="AJ28" s="394"/>
      <c r="AK28" s="395"/>
      <c r="AL28" s="351"/>
      <c r="AM28" s="238"/>
      <c r="AN28" s="351"/>
      <c r="AO28" s="237"/>
      <c r="BP28" s="232"/>
      <c r="BQ28" s="232"/>
    </row>
    <row r="29" spans="2:69" ht="15.75" hidden="1" customHeight="1" x14ac:dyDescent="0.2">
      <c r="B29" s="239"/>
      <c r="C29" s="234"/>
      <c r="D29" s="235"/>
      <c r="E29" s="236"/>
      <c r="F29" s="236"/>
      <c r="G29" s="215"/>
      <c r="H29" s="352"/>
      <c r="I29" s="236"/>
      <c r="J29" s="236"/>
      <c r="K29" s="391"/>
      <c r="L29" s="392"/>
      <c r="M29" s="393"/>
      <c r="N29" s="394"/>
      <c r="O29" s="395"/>
      <c r="P29" s="388"/>
      <c r="Q29" s="389"/>
      <c r="R29" s="390"/>
      <c r="S29" s="388"/>
      <c r="T29" s="389"/>
      <c r="U29" s="390"/>
      <c r="V29" s="391"/>
      <c r="W29" s="392"/>
      <c r="X29" s="393"/>
      <c r="Y29" s="394"/>
      <c r="Z29" s="395"/>
      <c r="AA29" s="388"/>
      <c r="AB29" s="389"/>
      <c r="AC29" s="390"/>
      <c r="AD29" s="388"/>
      <c r="AE29" s="389"/>
      <c r="AF29" s="390"/>
      <c r="AG29" s="391"/>
      <c r="AH29" s="392"/>
      <c r="AI29" s="393"/>
      <c r="AJ29" s="394"/>
      <c r="AK29" s="395"/>
      <c r="AL29" s="351"/>
      <c r="AM29" s="238"/>
      <c r="AN29" s="351"/>
      <c r="AO29" s="237"/>
      <c r="BP29" s="232"/>
      <c r="BQ29" s="232"/>
    </row>
    <row r="30" spans="2:69" ht="15.75" hidden="1" customHeight="1" x14ac:dyDescent="0.2">
      <c r="B30" s="239"/>
      <c r="C30" s="234"/>
      <c r="D30" s="235"/>
      <c r="E30" s="236"/>
      <c r="F30" s="236"/>
      <c r="G30" s="215"/>
      <c r="H30" s="352"/>
      <c r="I30" s="236"/>
      <c r="J30" s="236"/>
      <c r="K30" s="391"/>
      <c r="L30" s="392"/>
      <c r="M30" s="393"/>
      <c r="N30" s="394"/>
      <c r="O30" s="395"/>
      <c r="P30" s="388"/>
      <c r="Q30" s="389"/>
      <c r="R30" s="390"/>
      <c r="S30" s="388"/>
      <c r="T30" s="389"/>
      <c r="U30" s="390"/>
      <c r="V30" s="391"/>
      <c r="W30" s="392"/>
      <c r="X30" s="393"/>
      <c r="Y30" s="394"/>
      <c r="Z30" s="395"/>
      <c r="AA30" s="388"/>
      <c r="AB30" s="389"/>
      <c r="AC30" s="390"/>
      <c r="AD30" s="388"/>
      <c r="AE30" s="389"/>
      <c r="AF30" s="390"/>
      <c r="AG30" s="391"/>
      <c r="AH30" s="392"/>
      <c r="AI30" s="393"/>
      <c r="AJ30" s="394"/>
      <c r="AK30" s="395"/>
      <c r="AL30" s="351"/>
      <c r="AM30" s="238"/>
      <c r="AN30" s="351"/>
      <c r="AO30" s="237"/>
      <c r="BP30" s="232"/>
      <c r="BQ30" s="232"/>
    </row>
    <row r="31" spans="2:69" ht="15" hidden="1" customHeight="1" x14ac:dyDescent="0.2">
      <c r="B31" s="239"/>
      <c r="C31" s="234"/>
      <c r="D31" s="235"/>
      <c r="E31" s="236"/>
      <c r="F31" s="236"/>
      <c r="G31" s="215"/>
      <c r="H31" s="352"/>
      <c r="I31" s="236"/>
      <c r="J31" s="236"/>
      <c r="K31" s="391"/>
      <c r="L31" s="392"/>
      <c r="M31" s="393"/>
      <c r="N31" s="394"/>
      <c r="O31" s="395"/>
      <c r="P31" s="388"/>
      <c r="Q31" s="389"/>
      <c r="R31" s="390"/>
      <c r="S31" s="388"/>
      <c r="T31" s="389"/>
      <c r="U31" s="390"/>
      <c r="V31" s="391"/>
      <c r="W31" s="392"/>
      <c r="X31" s="393"/>
      <c r="Y31" s="394"/>
      <c r="Z31" s="395"/>
      <c r="AA31" s="388"/>
      <c r="AB31" s="389"/>
      <c r="AC31" s="390"/>
      <c r="AD31" s="388"/>
      <c r="AE31" s="389"/>
      <c r="AF31" s="390"/>
      <c r="AG31" s="391"/>
      <c r="AH31" s="392"/>
      <c r="AI31" s="393"/>
      <c r="AJ31" s="394"/>
      <c r="AK31" s="395"/>
      <c r="AL31" s="351"/>
      <c r="AM31" s="238"/>
      <c r="AN31" s="351"/>
      <c r="AO31" s="237"/>
      <c r="BP31" s="232"/>
      <c r="BQ31" s="232"/>
    </row>
    <row r="32" spans="2:69" ht="15" hidden="1" customHeight="1" x14ac:dyDescent="0.2">
      <c r="B32" s="239"/>
      <c r="C32" s="234"/>
      <c r="D32" s="235"/>
      <c r="E32" s="236"/>
      <c r="F32" s="236"/>
      <c r="G32" s="215"/>
      <c r="H32" s="352"/>
      <c r="I32" s="236"/>
      <c r="J32" s="236"/>
      <c r="K32" s="391"/>
      <c r="L32" s="392"/>
      <c r="M32" s="393"/>
      <c r="N32" s="394"/>
      <c r="O32" s="395"/>
      <c r="P32" s="388"/>
      <c r="Q32" s="389"/>
      <c r="R32" s="390"/>
      <c r="S32" s="388"/>
      <c r="T32" s="389"/>
      <c r="U32" s="390"/>
      <c r="V32" s="391"/>
      <c r="W32" s="392"/>
      <c r="X32" s="393"/>
      <c r="Y32" s="394"/>
      <c r="Z32" s="395"/>
      <c r="AA32" s="388"/>
      <c r="AB32" s="389"/>
      <c r="AC32" s="390"/>
      <c r="AD32" s="388"/>
      <c r="AE32" s="389"/>
      <c r="AF32" s="390"/>
      <c r="AG32" s="391"/>
      <c r="AH32" s="392"/>
      <c r="AI32" s="393"/>
      <c r="AJ32" s="394"/>
      <c r="AK32" s="395"/>
      <c r="AL32" s="351"/>
      <c r="AM32" s="238"/>
      <c r="AN32" s="351"/>
      <c r="AO32" s="237"/>
      <c r="BP32" s="232"/>
      <c r="BQ32" s="232"/>
    </row>
    <row r="33" spans="2:69" ht="15" hidden="1" customHeight="1" x14ac:dyDescent="0.2">
      <c r="B33" s="239"/>
      <c r="C33" s="234"/>
      <c r="D33" s="235"/>
      <c r="E33" s="236"/>
      <c r="F33" s="236"/>
      <c r="G33" s="215"/>
      <c r="H33" s="352"/>
      <c r="I33" s="236"/>
      <c r="J33" s="236"/>
      <c r="K33" s="391"/>
      <c r="L33" s="392"/>
      <c r="M33" s="393"/>
      <c r="N33" s="394"/>
      <c r="O33" s="395"/>
      <c r="P33" s="388"/>
      <c r="Q33" s="389"/>
      <c r="R33" s="390"/>
      <c r="S33" s="388"/>
      <c r="T33" s="389"/>
      <c r="U33" s="390"/>
      <c r="V33" s="391"/>
      <c r="W33" s="392"/>
      <c r="X33" s="393"/>
      <c r="Y33" s="394"/>
      <c r="Z33" s="395"/>
      <c r="AA33" s="388"/>
      <c r="AB33" s="389"/>
      <c r="AC33" s="390"/>
      <c r="AD33" s="388"/>
      <c r="AE33" s="389"/>
      <c r="AF33" s="390"/>
      <c r="AG33" s="391"/>
      <c r="AH33" s="392"/>
      <c r="AI33" s="393"/>
      <c r="AJ33" s="394"/>
      <c r="AK33" s="395"/>
      <c r="AL33" s="351"/>
      <c r="AM33" s="238"/>
      <c r="AN33" s="351"/>
      <c r="AO33" s="237"/>
      <c r="BP33" s="232"/>
      <c r="BQ33" s="232"/>
    </row>
    <row r="34" spans="2:69" ht="13.5" thickBot="1" x14ac:dyDescent="0.25">
      <c r="B34" s="240"/>
      <c r="C34" s="227"/>
      <c r="D34" s="227"/>
      <c r="E34" s="227"/>
      <c r="F34" s="227"/>
      <c r="G34" s="227"/>
      <c r="H34" s="227"/>
      <c r="I34" s="227"/>
      <c r="J34" s="227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BP34" s="232"/>
      <c r="BQ34" s="232"/>
    </row>
    <row r="35" spans="2:69" s="232" customFormat="1" ht="24" customHeight="1" x14ac:dyDescent="0.2">
      <c r="B35" s="418" t="s">
        <v>372</v>
      </c>
      <c r="C35" s="418"/>
      <c r="D35" s="418"/>
      <c r="E35" s="418"/>
      <c r="F35" s="418"/>
      <c r="G35" s="418"/>
      <c r="H35" s="418"/>
      <c r="I35" s="418"/>
      <c r="J35" s="418"/>
      <c r="K35" s="241">
        <f>D37-WEEKDAY(D37,1)+2</f>
        <v>44298</v>
      </c>
      <c r="L35" s="241">
        <f t="shared" ref="L35:AK35" si="1">K35+1</f>
        <v>44299</v>
      </c>
      <c r="M35" s="241">
        <f t="shared" si="1"/>
        <v>44300</v>
      </c>
      <c r="N35" s="241">
        <f t="shared" si="1"/>
        <v>44301</v>
      </c>
      <c r="O35" s="241">
        <f t="shared" si="1"/>
        <v>44302</v>
      </c>
      <c r="P35" s="241">
        <f t="shared" si="1"/>
        <v>44303</v>
      </c>
      <c r="Q35" s="241">
        <f t="shared" si="1"/>
        <v>44304</v>
      </c>
      <c r="R35" s="241">
        <f t="shared" si="1"/>
        <v>44305</v>
      </c>
      <c r="S35" s="241">
        <f t="shared" si="1"/>
        <v>44306</v>
      </c>
      <c r="T35" s="241">
        <f t="shared" si="1"/>
        <v>44307</v>
      </c>
      <c r="U35" s="241">
        <f t="shared" si="1"/>
        <v>44308</v>
      </c>
      <c r="V35" s="241">
        <f t="shared" si="1"/>
        <v>44309</v>
      </c>
      <c r="W35" s="241">
        <f t="shared" si="1"/>
        <v>44310</v>
      </c>
      <c r="X35" s="241">
        <f t="shared" si="1"/>
        <v>44311</v>
      </c>
      <c r="Y35" s="241">
        <f t="shared" si="1"/>
        <v>44312</v>
      </c>
      <c r="Z35" s="241">
        <f t="shared" si="1"/>
        <v>44313</v>
      </c>
      <c r="AA35" s="241">
        <f t="shared" si="1"/>
        <v>44314</v>
      </c>
      <c r="AB35" s="241">
        <f t="shared" si="1"/>
        <v>44315</v>
      </c>
      <c r="AC35" s="241">
        <f t="shared" si="1"/>
        <v>44316</v>
      </c>
      <c r="AD35" s="241">
        <f t="shared" si="1"/>
        <v>44317</v>
      </c>
      <c r="AE35" s="241">
        <f t="shared" si="1"/>
        <v>44318</v>
      </c>
      <c r="AF35" s="241">
        <f t="shared" si="1"/>
        <v>44319</v>
      </c>
      <c r="AG35" s="241">
        <f t="shared" si="1"/>
        <v>44320</v>
      </c>
      <c r="AH35" s="241">
        <f t="shared" si="1"/>
        <v>44321</v>
      </c>
      <c r="AI35" s="241">
        <f t="shared" si="1"/>
        <v>44322</v>
      </c>
      <c r="AJ35" s="241">
        <f t="shared" si="1"/>
        <v>44323</v>
      </c>
      <c r="AK35" s="241">
        <f t="shared" si="1"/>
        <v>44324</v>
      </c>
      <c r="AS35" s="396" t="s">
        <v>377</v>
      </c>
      <c r="AT35" s="397"/>
      <c r="AU35" s="397"/>
      <c r="AV35" s="398"/>
    </row>
    <row r="36" spans="2:69" s="232" customFormat="1" ht="24.75" customHeight="1" x14ac:dyDescent="0.2">
      <c r="B36" s="417" t="s">
        <v>343</v>
      </c>
      <c r="C36" s="417"/>
      <c r="D36" s="353" t="s">
        <v>344</v>
      </c>
      <c r="E36" s="353" t="s">
        <v>374</v>
      </c>
      <c r="F36" s="419" t="s">
        <v>375</v>
      </c>
      <c r="G36" s="419"/>
      <c r="H36" s="419" t="s">
        <v>376</v>
      </c>
      <c r="I36" s="419"/>
      <c r="J36" s="354" t="s">
        <v>455</v>
      </c>
      <c r="K36" s="242" t="str">
        <f t="shared" ref="K36:AD36" si="2">CHOOSE(WEEKDAY(K35,1),"S","M","T","W","T","F","S")</f>
        <v>M</v>
      </c>
      <c r="L36" s="242" t="str">
        <f t="shared" si="2"/>
        <v>T</v>
      </c>
      <c r="M36" s="242" t="str">
        <f t="shared" si="2"/>
        <v>W</v>
      </c>
      <c r="N36" s="242" t="str">
        <f t="shared" si="2"/>
        <v>T</v>
      </c>
      <c r="O36" s="242" t="str">
        <f t="shared" si="2"/>
        <v>F</v>
      </c>
      <c r="P36" s="242" t="str">
        <f t="shared" si="2"/>
        <v>S</v>
      </c>
      <c r="Q36" s="242" t="str">
        <f t="shared" si="2"/>
        <v>S</v>
      </c>
      <c r="R36" s="242" t="str">
        <f t="shared" si="2"/>
        <v>M</v>
      </c>
      <c r="S36" s="242" t="str">
        <f t="shared" si="2"/>
        <v>T</v>
      </c>
      <c r="T36" s="242" t="str">
        <f t="shared" si="2"/>
        <v>W</v>
      </c>
      <c r="U36" s="242" t="str">
        <f t="shared" si="2"/>
        <v>T</v>
      </c>
      <c r="V36" s="242" t="str">
        <f t="shared" si="2"/>
        <v>F</v>
      </c>
      <c r="W36" s="242" t="str">
        <f t="shared" si="2"/>
        <v>S</v>
      </c>
      <c r="X36" s="242" t="str">
        <f t="shared" si="2"/>
        <v>S</v>
      </c>
      <c r="Y36" s="242" t="str">
        <f t="shared" si="2"/>
        <v>M</v>
      </c>
      <c r="Z36" s="242" t="str">
        <f t="shared" si="2"/>
        <v>T</v>
      </c>
      <c r="AA36" s="242" t="str">
        <f t="shared" si="2"/>
        <v>W</v>
      </c>
      <c r="AB36" s="242" t="str">
        <f t="shared" si="2"/>
        <v>T</v>
      </c>
      <c r="AC36" s="242" t="str">
        <f t="shared" si="2"/>
        <v>F</v>
      </c>
      <c r="AD36" s="242" t="str">
        <f t="shared" si="2"/>
        <v>S</v>
      </c>
      <c r="AE36" s="242" t="str">
        <f t="shared" ref="AE36:AK36" si="3">CHOOSE(WEEKDAY(AE35,1),"S","M","T","W","T","F","S")</f>
        <v>S</v>
      </c>
      <c r="AF36" s="242" t="str">
        <f t="shared" si="3"/>
        <v>M</v>
      </c>
      <c r="AG36" s="242" t="str">
        <f t="shared" si="3"/>
        <v>T</v>
      </c>
      <c r="AH36" s="242" t="str">
        <f t="shared" si="3"/>
        <v>W</v>
      </c>
      <c r="AI36" s="242" t="str">
        <f t="shared" si="3"/>
        <v>T</v>
      </c>
      <c r="AJ36" s="242" t="str">
        <f t="shared" si="3"/>
        <v>F</v>
      </c>
      <c r="AK36" s="242" t="str">
        <f t="shared" si="3"/>
        <v>S</v>
      </c>
      <c r="AS36" s="243" t="str">
        <f>HF_EC_Abbrev1</f>
        <v>Fenshi</v>
      </c>
      <c r="AT36" s="244" t="str">
        <f>HF_EC_Abbrev2</f>
        <v>Giscard</v>
      </c>
      <c r="AU36" s="244" t="str">
        <f>HF_EC_Abbrev3</f>
        <v>Skimfos</v>
      </c>
      <c r="AV36" s="245" t="str">
        <f>HF_EC_Abbrev4</f>
        <v>Mordecai</v>
      </c>
    </row>
    <row r="37" spans="2:69" s="249" customFormat="1" ht="15" customHeight="1" x14ac:dyDescent="0.25">
      <c r="B37" s="416" t="str">
        <f>IF(B12="","",B12)</f>
        <v>Artifact Enhancement Event I</v>
      </c>
      <c r="C37" s="416"/>
      <c r="D37" s="246">
        <f>IF(B37="","",C12)</f>
        <v>44299</v>
      </c>
      <c r="E37" s="246">
        <f>IF(ISBLANK(D37)," - ",IF(D12=0,D37,D37+D12-1))</f>
        <v>44302</v>
      </c>
      <c r="F37" s="377"/>
      <c r="G37" s="377"/>
      <c r="H37" s="378" t="str">
        <f>IF(F37=0,"",IF(F37/MAX(G12,K12,V12,AG12)&gt;1,1,F37/MAX(G12,K12,V12,AG12)))</f>
        <v/>
      </c>
      <c r="I37" s="378"/>
      <c r="J37" s="251" t="str">
        <f>IF(F37=0,"",IF($F37&gt;=MAX($G12,$K12,$V12,$AG12),$E12+$I12+$P12+$AA12,IF($F37&gt;=MAX($G12,$K12,$V12),$E12+$I12+$P12,IF($F37&gt;=MAX($G12,$K12),$E12+$I12,IF($F37&gt;=$G12,$E12,"")))))</f>
        <v/>
      </c>
      <c r="K37" s="247"/>
      <c r="L37" s="247"/>
      <c r="M37" s="247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8"/>
      <c r="AG37" s="248"/>
      <c r="AH37" s="248"/>
      <c r="AI37" s="248"/>
      <c r="AJ37" s="248"/>
      <c r="AK37" s="248"/>
      <c r="AS37" s="250" t="str">
        <f t="shared" ref="AS37:AS58" si="4">IF($F37=0,"",IF($F37&gt;=MAX($G12,$K12,$V12,$AG12),SUMIF($F12,HF_EC_Abbrev1,$E12)+SUMIF($J12,HF_EC_Abbrev1,$I12)+SUMIF($S12,HF_EC_Abbrev1,$P12)+SUMIF($AD12,HF_EC_Abbrev1,$AA12),IF($F37&gt;=MAX($G12,$K12,$V12),SUMIF($F12,HF_EC_Abbrev1,$E12)+SUMIF($J12,HF_EC_Abbrev1,$I12)+SUMIF($S12,HF_EC_Abbrev1,$P12),IF($F37&gt;=MAX($G12,$K12),SUMIF($F12,HF_EC_Abbrev1,$E12)+SUMIF($J12,HF_EC_Abbrev1,$I12),IF($F37&gt;=$G12,SUMIF($F12,HF_EC_Abbrev1,$E12),"")))))</f>
        <v/>
      </c>
      <c r="AT37" s="251" t="str">
        <f t="shared" ref="AT37:AT58" si="5">IF($F37=0,"",IF($F37&gt;=MAX($G12,$K12,$V12,$AG12),SUMIF($F12,HF_EC_Abbrev2,$E12)+SUMIF($J12,HF_EC_Abbrev2,$I12)+SUMIF($S12,HF_EC_Abbrev2,$P12)+SUMIF($AD12,HF_EC_Abbrev2,$AA12),IF($F37&gt;=MAX($G12,$K12,$V12),SUMIF($F12,HF_EC_Abbrev2,$E12)+SUMIF($J12,HF_EC_Abbrev2,$I12)+SUMIF($S12,HF_EC_Abbrev2,$P12),IF($F37&gt;=MAX($G12,$K12),SUMIF($F12,HF_EC_Abbrev2,$E12)+SUMIF($J12,HF_EC_Abbrev2,$I12),IF($F37&gt;=$G12,SUMIF($F12,HF_EC_Abbrev2,$E12),"")))))</f>
        <v/>
      </c>
      <c r="AU37" s="251" t="str">
        <f t="shared" ref="AU37:AU58" si="6">IF($F37=0,"",IF($F37&gt;=MAX($G12,$K12,$V12,$AG12),SUMIF($F12,HF_EC_Abbrev3,$E12)+SUMIF($J12,HF_EC_Abbrev3,$I12)+SUMIF($S12,HF_EC_Abbrev3,$P12)+SUMIF($AD12,HF_EC_Abbrev3,$AA12),IF($F37&gt;=MAX($G12,$K12,$V12),SUMIF($F12,HF_EC_Abbrev3,$E12)+SUMIF($J12,HF_EC_Abbrev3,$I12)+SUMIF($S12,HF_EC_Abbrev3,$P12),IF($F37&gt;=MAX($G12,$K12),SUMIF($F12,HF_EC_Abbrev3,$E12)+SUMIF($J12,HF_EC_Abbrev3,$I12),IF($F37&gt;=$G12,SUMIF($F12,HF_EC_Abbrev3,$E12),"")))))</f>
        <v/>
      </c>
      <c r="AV37" s="252" t="str">
        <f t="shared" ref="AV37:AV58" si="7">IF($F37=0,"",IF($F37&gt;=MAX($G12,$K12,$V12,$AG12),SUMIF($F12,HF_EC_Abbrev4,$E12)+SUMIF($J12,HF_EC_Abbrev4,$I12)+SUMIF($S12,HF_EC_Abbrev4,$P12)+SUMIF($AD12,HF_EC_Abbrev4,$AA12),IF($F37&gt;=MAX($G12,$K12,$V12),SUMIF($F12,HF_EC_Abbrev4,$E12)+SUMIF($J12,HF_EC_Abbrev4,$I12)+SUMIF($S12,HF_EC_Abbrev4,$P12),IF($F37&gt;=MAX($G12,$K12),SUMIF($F12,HF_EC_Abbrev4,$E12)+SUMIF($J12,HF_EC_Abbrev4,$I12),IF($F37&gt;=$G12,SUMIF($F12,HF_EC_Abbrev4,$E12),"")))))</f>
        <v/>
      </c>
    </row>
    <row r="38" spans="2:69" s="249" customFormat="1" ht="15" customHeight="1" x14ac:dyDescent="0.25">
      <c r="B38" s="416" t="str">
        <f t="shared" ref="B38:B58" si="8">IF(B13="","",B13)</f>
        <v>Dragon Tournament</v>
      </c>
      <c r="C38" s="416"/>
      <c r="D38" s="246">
        <f>IF(B38="","",C13)</f>
        <v>44299</v>
      </c>
      <c r="E38" s="246">
        <f>IF(ISBLANK(D38)," - ",IF(D13=0,D38,D38+D13-1))</f>
        <v>44302</v>
      </c>
      <c r="F38" s="377"/>
      <c r="G38" s="377"/>
      <c r="H38" s="378" t="str">
        <f t="shared" ref="H38:H50" si="9">IF(F38=0,"",IF(F38/MAX(G13,K13,V13,AG13)&gt;1,1,F38/MAX(G13,K13,V13,AG13)))</f>
        <v/>
      </c>
      <c r="I38" s="378"/>
      <c r="J38" s="251" t="str">
        <f t="shared" ref="J38:J58" si="10">IF(F38=0,"",IF($F38&gt;=MAX($G13,$K13,$V13,$AG13),$E13+$I13+$P13+$AA13,IF($F38&gt;=MAX($G13,$K13,$V13),$E13+$I13+$P13,IF($F38&gt;=MAX($G13,$K13),$E13+$I13,IF($F38&gt;=$G13,$E13,"")))))</f>
        <v/>
      </c>
      <c r="K38" s="247"/>
      <c r="L38" s="247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48"/>
      <c r="AG38" s="248"/>
      <c r="AH38" s="248"/>
      <c r="AI38" s="248"/>
      <c r="AJ38" s="248"/>
      <c r="AK38" s="248"/>
      <c r="AS38" s="250" t="str">
        <f t="shared" si="4"/>
        <v/>
      </c>
      <c r="AT38" s="251" t="str">
        <f t="shared" si="5"/>
        <v/>
      </c>
      <c r="AU38" s="251" t="str">
        <f t="shared" si="6"/>
        <v/>
      </c>
      <c r="AV38" s="252" t="str">
        <f t="shared" si="7"/>
        <v/>
      </c>
    </row>
    <row r="39" spans="2:69" s="249" customFormat="1" ht="15" customHeight="1" x14ac:dyDescent="0.25">
      <c r="B39" s="416" t="str">
        <f t="shared" si="8"/>
        <v>Classic Arena Takedown Tournament I</v>
      </c>
      <c r="C39" s="416"/>
      <c r="D39" s="246">
        <f>IF(B39="","",C15)</f>
        <v>44302</v>
      </c>
      <c r="E39" s="246">
        <f>IF(ISBLANK(D39)," - ",IF(D15=0,D39,D39+D15-1))</f>
        <v>44305</v>
      </c>
      <c r="F39" s="377"/>
      <c r="G39" s="377"/>
      <c r="H39" s="378" t="str">
        <f t="shared" si="9"/>
        <v/>
      </c>
      <c r="I39" s="378"/>
      <c r="J39" s="251" t="str">
        <f t="shared" si="10"/>
        <v/>
      </c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8"/>
      <c r="AG39" s="248"/>
      <c r="AH39" s="248"/>
      <c r="AI39" s="248"/>
      <c r="AJ39" s="248"/>
      <c r="AK39" s="248"/>
      <c r="AS39" s="250" t="str">
        <f t="shared" si="4"/>
        <v/>
      </c>
      <c r="AT39" s="251" t="str">
        <f t="shared" si="5"/>
        <v/>
      </c>
      <c r="AU39" s="251" t="str">
        <f t="shared" si="6"/>
        <v/>
      </c>
      <c r="AV39" s="252" t="str">
        <f t="shared" si="7"/>
        <v/>
      </c>
    </row>
    <row r="40" spans="2:69" s="249" customFormat="1" ht="15" customHeight="1" x14ac:dyDescent="0.25">
      <c r="B40" s="416" t="str">
        <f t="shared" si="8"/>
        <v>Champion Chase Tournament</v>
      </c>
      <c r="C40" s="416"/>
      <c r="D40" s="246">
        <f>IF(B40="","",C14)</f>
        <v>44301</v>
      </c>
      <c r="E40" s="246">
        <f>IF(ISBLANK(D40)," - ",IF(D14=0,D40,D40+D14-1))</f>
        <v>44306</v>
      </c>
      <c r="F40" s="377"/>
      <c r="G40" s="377"/>
      <c r="H40" s="378" t="str">
        <f t="shared" si="9"/>
        <v/>
      </c>
      <c r="I40" s="378"/>
      <c r="J40" s="251" t="str">
        <f t="shared" si="10"/>
        <v/>
      </c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  <c r="V40" s="247"/>
      <c r="W40" s="247"/>
      <c r="X40" s="247"/>
      <c r="Y40" s="247"/>
      <c r="Z40" s="247"/>
      <c r="AA40" s="247"/>
      <c r="AB40" s="247"/>
      <c r="AC40" s="247"/>
      <c r="AD40" s="247"/>
      <c r="AE40" s="247"/>
      <c r="AF40" s="248"/>
      <c r="AG40" s="248"/>
      <c r="AH40" s="248"/>
      <c r="AI40" s="248"/>
      <c r="AJ40" s="248"/>
      <c r="AK40" s="248"/>
      <c r="AS40" s="250" t="str">
        <f t="shared" si="4"/>
        <v/>
      </c>
      <c r="AT40" s="251" t="str">
        <f t="shared" si="5"/>
        <v/>
      </c>
      <c r="AU40" s="251" t="str">
        <f t="shared" si="6"/>
        <v/>
      </c>
      <c r="AV40" s="252" t="str">
        <f t="shared" si="7"/>
        <v/>
      </c>
    </row>
    <row r="41" spans="2:69" s="249" customFormat="1" ht="15" customHeight="1" x14ac:dyDescent="0.25">
      <c r="B41" s="416" t="str">
        <f t="shared" si="8"/>
        <v>Champion Training Event</v>
      </c>
      <c r="C41" s="416"/>
      <c r="D41" s="246">
        <f t="shared" ref="D41:D58" si="11">IF(B41="","",C16)</f>
        <v>44302</v>
      </c>
      <c r="E41" s="246">
        <f t="shared" ref="E41:E58" si="12">IF(ISBLANK(D41)," - ",IF(D16=0,D41,D41+D16-1))</f>
        <v>44309</v>
      </c>
      <c r="F41" s="377"/>
      <c r="G41" s="377"/>
      <c r="H41" s="378" t="str">
        <f t="shared" si="9"/>
        <v/>
      </c>
      <c r="I41" s="378"/>
      <c r="J41" s="251" t="str">
        <f t="shared" si="10"/>
        <v/>
      </c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  <c r="V41" s="247"/>
      <c r="W41" s="247"/>
      <c r="X41" s="247"/>
      <c r="Y41" s="247"/>
      <c r="Z41" s="247"/>
      <c r="AA41" s="247"/>
      <c r="AB41" s="247"/>
      <c r="AC41" s="247"/>
      <c r="AD41" s="247"/>
      <c r="AE41" s="247"/>
      <c r="AF41" s="248"/>
      <c r="AG41" s="248"/>
      <c r="AH41" s="248"/>
      <c r="AI41" s="248"/>
      <c r="AJ41" s="248"/>
      <c r="AK41" s="248"/>
      <c r="AS41" s="250" t="str">
        <f t="shared" si="4"/>
        <v/>
      </c>
      <c r="AT41" s="251" t="str">
        <f t="shared" si="5"/>
        <v/>
      </c>
      <c r="AU41" s="251" t="str">
        <f t="shared" si="6"/>
        <v/>
      </c>
      <c r="AV41" s="252" t="str">
        <f t="shared" si="7"/>
        <v/>
      </c>
    </row>
    <row r="42" spans="2:69" s="249" customFormat="1" ht="15" customHeight="1" x14ac:dyDescent="0.25">
      <c r="B42" s="416" t="str">
        <f t="shared" si="8"/>
        <v>Fire Knight Tournament</v>
      </c>
      <c r="C42" s="416"/>
      <c r="D42" s="246">
        <f t="shared" si="11"/>
        <v>44303</v>
      </c>
      <c r="E42" s="246">
        <f t="shared" si="12"/>
        <v>44306</v>
      </c>
      <c r="F42" s="377"/>
      <c r="G42" s="377"/>
      <c r="H42" s="378" t="str">
        <f t="shared" si="9"/>
        <v/>
      </c>
      <c r="I42" s="378"/>
      <c r="J42" s="251" t="str">
        <f t="shared" si="10"/>
        <v/>
      </c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  <c r="V42" s="247"/>
      <c r="W42" s="247"/>
      <c r="X42" s="247"/>
      <c r="Y42" s="247"/>
      <c r="Z42" s="247"/>
      <c r="AA42" s="247"/>
      <c r="AB42" s="247"/>
      <c r="AC42" s="247"/>
      <c r="AD42" s="247"/>
      <c r="AE42" s="247"/>
      <c r="AF42" s="248"/>
      <c r="AG42" s="248"/>
      <c r="AH42" s="248"/>
      <c r="AI42" s="248"/>
      <c r="AJ42" s="248"/>
      <c r="AK42" s="248"/>
      <c r="AS42" s="250" t="str">
        <f t="shared" si="4"/>
        <v/>
      </c>
      <c r="AT42" s="251" t="str">
        <f t="shared" si="5"/>
        <v/>
      </c>
      <c r="AU42" s="251" t="str">
        <f t="shared" si="6"/>
        <v/>
      </c>
      <c r="AV42" s="252" t="str">
        <f t="shared" si="7"/>
        <v/>
      </c>
    </row>
    <row r="43" spans="2:69" s="249" customFormat="1" ht="15" customHeight="1" x14ac:dyDescent="0.25">
      <c r="B43" s="416" t="str">
        <f t="shared" si="8"/>
        <v>Dungeon Divers Event I</v>
      </c>
      <c r="C43" s="416"/>
      <c r="D43" s="246">
        <f t="shared" si="11"/>
        <v>44304</v>
      </c>
      <c r="E43" s="246">
        <f t="shared" si="12"/>
        <v>44308</v>
      </c>
      <c r="F43" s="377"/>
      <c r="G43" s="377"/>
      <c r="H43" s="378" t="str">
        <f t="shared" si="9"/>
        <v/>
      </c>
      <c r="I43" s="378"/>
      <c r="J43" s="251" t="str">
        <f t="shared" si="10"/>
        <v/>
      </c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  <c r="V43" s="247"/>
      <c r="W43" s="247"/>
      <c r="X43" s="247"/>
      <c r="Y43" s="247"/>
      <c r="Z43" s="247"/>
      <c r="AA43" s="247"/>
      <c r="AB43" s="247"/>
      <c r="AC43" s="247"/>
      <c r="AD43" s="247"/>
      <c r="AE43" s="247"/>
      <c r="AF43" s="248"/>
      <c r="AG43" s="248"/>
      <c r="AH43" s="248"/>
      <c r="AI43" s="248"/>
      <c r="AJ43" s="248"/>
      <c r="AK43" s="248"/>
      <c r="AS43" s="250" t="str">
        <f t="shared" si="4"/>
        <v/>
      </c>
      <c r="AT43" s="251" t="str">
        <f t="shared" si="5"/>
        <v/>
      </c>
      <c r="AU43" s="251" t="str">
        <f t="shared" si="6"/>
        <v/>
      </c>
      <c r="AV43" s="252" t="str">
        <f t="shared" si="7"/>
        <v/>
      </c>
    </row>
    <row r="44" spans="2:69" s="249" customFormat="1" ht="15" customHeight="1" x14ac:dyDescent="0.25">
      <c r="B44" s="416" t="str">
        <f t="shared" si="8"/>
        <v>Ice Golem Tournament</v>
      </c>
      <c r="C44" s="416"/>
      <c r="D44" s="246">
        <f t="shared" si="11"/>
        <v>44306</v>
      </c>
      <c r="E44" s="246">
        <f t="shared" si="12"/>
        <v>44309</v>
      </c>
      <c r="F44" s="377"/>
      <c r="G44" s="377"/>
      <c r="H44" s="378" t="str">
        <f t="shared" si="9"/>
        <v/>
      </c>
      <c r="I44" s="378"/>
      <c r="J44" s="251" t="str">
        <f t="shared" si="10"/>
        <v/>
      </c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8"/>
      <c r="AG44" s="248"/>
      <c r="AH44" s="248"/>
      <c r="AI44" s="248"/>
      <c r="AJ44" s="248"/>
      <c r="AK44" s="248"/>
      <c r="AS44" s="250" t="str">
        <f t="shared" si="4"/>
        <v/>
      </c>
      <c r="AT44" s="251" t="str">
        <f t="shared" si="5"/>
        <v/>
      </c>
      <c r="AU44" s="251" t="str">
        <f t="shared" si="6"/>
        <v/>
      </c>
      <c r="AV44" s="252" t="str">
        <f t="shared" si="7"/>
        <v/>
      </c>
    </row>
    <row r="45" spans="2:69" s="253" customFormat="1" ht="15" customHeight="1" x14ac:dyDescent="0.25">
      <c r="B45" s="416" t="str">
        <f t="shared" si="8"/>
        <v>Artifact Enhancement Event II</v>
      </c>
      <c r="C45" s="416"/>
      <c r="D45" s="246">
        <f t="shared" si="11"/>
        <v>44306</v>
      </c>
      <c r="E45" s="246">
        <f t="shared" si="12"/>
        <v>44310</v>
      </c>
      <c r="F45" s="377"/>
      <c r="G45" s="377"/>
      <c r="H45" s="378" t="str">
        <f t="shared" si="9"/>
        <v/>
      </c>
      <c r="I45" s="378"/>
      <c r="J45" s="251" t="str">
        <f t="shared" si="10"/>
        <v/>
      </c>
      <c r="K45" s="247"/>
      <c r="L45" s="247"/>
      <c r="M45" s="247"/>
      <c r="N45" s="247"/>
      <c r="O45" s="247"/>
      <c r="P45" s="247"/>
      <c r="Q45" s="247"/>
      <c r="R45" s="247"/>
      <c r="S45" s="247"/>
      <c r="T45" s="247"/>
      <c r="U45" s="247"/>
      <c r="V45" s="247"/>
      <c r="W45" s="247"/>
      <c r="X45" s="247"/>
      <c r="Y45" s="247"/>
      <c r="Z45" s="247"/>
      <c r="AA45" s="247"/>
      <c r="AB45" s="247"/>
      <c r="AC45" s="247"/>
      <c r="AD45" s="247"/>
      <c r="AE45" s="247"/>
      <c r="AF45" s="248"/>
      <c r="AG45" s="248"/>
      <c r="AH45" s="248"/>
      <c r="AI45" s="248"/>
      <c r="AJ45" s="248"/>
      <c r="AK45" s="248"/>
      <c r="AS45" s="250" t="str">
        <f t="shared" si="4"/>
        <v/>
      </c>
      <c r="AT45" s="251" t="str">
        <f t="shared" si="5"/>
        <v/>
      </c>
      <c r="AU45" s="251" t="str">
        <f t="shared" si="6"/>
        <v/>
      </c>
      <c r="AV45" s="252" t="str">
        <f t="shared" si="7"/>
        <v/>
      </c>
    </row>
    <row r="46" spans="2:69" s="253" customFormat="1" ht="15" customHeight="1" x14ac:dyDescent="0.25">
      <c r="B46" s="416" t="str">
        <f t="shared" si="8"/>
        <v>Classic Arena Takedown Tournament II</v>
      </c>
      <c r="C46" s="416"/>
      <c r="D46" s="246">
        <f t="shared" si="11"/>
        <v>44309</v>
      </c>
      <c r="E46" s="246">
        <f t="shared" si="12"/>
        <v>44311</v>
      </c>
      <c r="F46" s="377"/>
      <c r="G46" s="377"/>
      <c r="H46" s="378" t="str">
        <f t="shared" si="9"/>
        <v/>
      </c>
      <c r="I46" s="378"/>
      <c r="J46" s="251" t="str">
        <f t="shared" si="10"/>
        <v/>
      </c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8"/>
      <c r="AG46" s="248"/>
      <c r="AH46" s="248"/>
      <c r="AI46" s="248"/>
      <c r="AJ46" s="248"/>
      <c r="AK46" s="248"/>
      <c r="AS46" s="250" t="str">
        <f t="shared" si="4"/>
        <v/>
      </c>
      <c r="AT46" s="251" t="str">
        <f t="shared" si="5"/>
        <v/>
      </c>
      <c r="AU46" s="251" t="str">
        <f t="shared" si="6"/>
        <v/>
      </c>
      <c r="AV46" s="252" t="str">
        <f t="shared" si="7"/>
        <v/>
      </c>
    </row>
    <row r="47" spans="2:69" s="254" customFormat="1" ht="15" customHeight="1" x14ac:dyDescent="0.2">
      <c r="B47" s="416" t="str">
        <f t="shared" si="8"/>
        <v>Summon Rush Event</v>
      </c>
      <c r="C47" s="416"/>
      <c r="D47" s="246">
        <f t="shared" si="11"/>
        <v>44309</v>
      </c>
      <c r="E47" s="246">
        <f t="shared" si="12"/>
        <v>44312</v>
      </c>
      <c r="F47" s="377"/>
      <c r="G47" s="377"/>
      <c r="H47" s="378" t="str">
        <f t="shared" si="9"/>
        <v/>
      </c>
      <c r="I47" s="378"/>
      <c r="J47" s="251" t="str">
        <f t="shared" si="10"/>
        <v/>
      </c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248"/>
      <c r="AG47" s="248"/>
      <c r="AH47" s="248"/>
      <c r="AI47" s="248"/>
      <c r="AJ47" s="248"/>
      <c r="AK47" s="248"/>
      <c r="AS47" s="250" t="str">
        <f t="shared" si="4"/>
        <v/>
      </c>
      <c r="AT47" s="251" t="str">
        <f t="shared" si="5"/>
        <v/>
      </c>
      <c r="AU47" s="251" t="str">
        <f t="shared" si="6"/>
        <v/>
      </c>
      <c r="AV47" s="252" t="str">
        <f t="shared" si="7"/>
        <v/>
      </c>
    </row>
    <row r="48" spans="2:69" s="254" customFormat="1" ht="15" customHeight="1" x14ac:dyDescent="0.2">
      <c r="B48" s="416" t="str">
        <f t="shared" si="8"/>
        <v>Spider Tournament</v>
      </c>
      <c r="C48" s="416"/>
      <c r="D48" s="246">
        <f t="shared" si="11"/>
        <v>44310</v>
      </c>
      <c r="E48" s="246">
        <f t="shared" si="12"/>
        <v>44313</v>
      </c>
      <c r="F48" s="377"/>
      <c r="G48" s="377"/>
      <c r="H48" s="378" t="str">
        <f t="shared" si="9"/>
        <v/>
      </c>
      <c r="I48" s="378"/>
      <c r="J48" s="251" t="str">
        <f t="shared" si="10"/>
        <v/>
      </c>
      <c r="K48" s="247"/>
      <c r="L48" s="247"/>
      <c r="M48" s="247"/>
      <c r="N48" s="247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8"/>
      <c r="AG48" s="248"/>
      <c r="AH48" s="248"/>
      <c r="AI48" s="248"/>
      <c r="AJ48" s="248"/>
      <c r="AK48" s="248"/>
      <c r="AS48" s="250" t="str">
        <f t="shared" si="4"/>
        <v/>
      </c>
      <c r="AT48" s="251" t="str">
        <f t="shared" si="5"/>
        <v/>
      </c>
      <c r="AU48" s="251" t="str">
        <f t="shared" si="6"/>
        <v/>
      </c>
      <c r="AV48" s="252" t="str">
        <f t="shared" si="7"/>
        <v/>
      </c>
    </row>
    <row r="49" spans="2:48" s="254" customFormat="1" ht="15" customHeight="1" x14ac:dyDescent="0.2">
      <c r="B49" s="416" t="str">
        <f t="shared" si="8"/>
        <v>Dungeon Divers Event II</v>
      </c>
      <c r="C49" s="416"/>
      <c r="D49" s="246">
        <f t="shared" si="11"/>
        <v>44310</v>
      </c>
      <c r="E49" s="246">
        <f t="shared" si="12"/>
        <v>44315</v>
      </c>
      <c r="F49" s="377"/>
      <c r="G49" s="377"/>
      <c r="H49" s="378" t="str">
        <f t="shared" si="9"/>
        <v/>
      </c>
      <c r="I49" s="378"/>
      <c r="J49" s="251" t="str">
        <f t="shared" si="10"/>
        <v/>
      </c>
      <c r="K49" s="247"/>
      <c r="L49" s="247"/>
      <c r="M49" s="247"/>
      <c r="N49" s="247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8"/>
      <c r="AG49" s="248"/>
      <c r="AH49" s="248"/>
      <c r="AI49" s="248"/>
      <c r="AJ49" s="248"/>
      <c r="AK49" s="248"/>
      <c r="AS49" s="250" t="str">
        <f t="shared" si="4"/>
        <v/>
      </c>
      <c r="AT49" s="251" t="str">
        <f t="shared" si="5"/>
        <v/>
      </c>
      <c r="AU49" s="251" t="str">
        <f t="shared" si="6"/>
        <v/>
      </c>
      <c r="AV49" s="252" t="str">
        <f t="shared" si="7"/>
        <v/>
      </c>
    </row>
    <row r="50" spans="2:48" s="254" customFormat="1" ht="15" customHeight="1" x14ac:dyDescent="0.2">
      <c r="B50" s="416" t="str">
        <f t="shared" si="8"/>
        <v>Artifact Enhancement Event III</v>
      </c>
      <c r="C50" s="416"/>
      <c r="D50" s="246">
        <f t="shared" si="11"/>
        <v>44311</v>
      </c>
      <c r="E50" s="246">
        <f t="shared" si="12"/>
        <v>44314</v>
      </c>
      <c r="F50" s="377"/>
      <c r="G50" s="377"/>
      <c r="H50" s="378" t="str">
        <f t="shared" si="9"/>
        <v/>
      </c>
      <c r="I50" s="378"/>
      <c r="J50" s="251" t="str">
        <f t="shared" si="10"/>
        <v/>
      </c>
      <c r="K50" s="247"/>
      <c r="L50" s="247"/>
      <c r="M50" s="247"/>
      <c r="N50" s="247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8"/>
      <c r="AG50" s="248"/>
      <c r="AH50" s="248"/>
      <c r="AI50" s="248"/>
      <c r="AJ50" s="248"/>
      <c r="AK50" s="248"/>
      <c r="AS50" s="250" t="str">
        <f t="shared" si="4"/>
        <v/>
      </c>
      <c r="AT50" s="251" t="str">
        <f t="shared" si="5"/>
        <v/>
      </c>
      <c r="AU50" s="251" t="str">
        <f t="shared" si="6"/>
        <v/>
      </c>
      <c r="AV50" s="252" t="str">
        <f t="shared" si="7"/>
        <v/>
      </c>
    </row>
    <row r="51" spans="2:48" s="254" customFormat="1" ht="15" customHeight="1" x14ac:dyDescent="0.2">
      <c r="B51" s="416" t="str">
        <f t="shared" si="8"/>
        <v>Champion Training Tournament</v>
      </c>
      <c r="C51" s="416"/>
      <c r="D51" s="246">
        <f t="shared" si="11"/>
        <v>44311</v>
      </c>
      <c r="E51" s="246">
        <f t="shared" si="12"/>
        <v>44314</v>
      </c>
      <c r="F51" s="377"/>
      <c r="G51" s="377"/>
      <c r="H51" s="378" t="str">
        <f t="shared" ref="H51:H58" si="13">IF(F51=0,"",IF(F51/MAX(G26,K26,V26,AG26)&gt;1,1,F51/MAX(G26,K26,V26,AG26)))</f>
        <v/>
      </c>
      <c r="I51" s="378"/>
      <c r="J51" s="251" t="str">
        <f t="shared" si="10"/>
        <v/>
      </c>
      <c r="K51" s="247"/>
      <c r="L51" s="247"/>
      <c r="M51" s="247"/>
      <c r="N51" s="247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248"/>
      <c r="AG51" s="248"/>
      <c r="AH51" s="248"/>
      <c r="AI51" s="248"/>
      <c r="AJ51" s="248"/>
      <c r="AK51" s="248"/>
      <c r="AS51" s="250" t="str">
        <f t="shared" si="4"/>
        <v/>
      </c>
      <c r="AT51" s="251" t="str">
        <f t="shared" si="5"/>
        <v/>
      </c>
      <c r="AU51" s="251" t="str">
        <f t="shared" si="6"/>
        <v/>
      </c>
      <c r="AV51" s="252" t="str">
        <f t="shared" si="7"/>
        <v/>
      </c>
    </row>
    <row r="52" spans="2:48" s="254" customFormat="1" ht="15" hidden="1" customHeight="1" x14ac:dyDescent="0.2">
      <c r="B52" s="416" t="str">
        <f t="shared" si="8"/>
        <v/>
      </c>
      <c r="C52" s="416"/>
      <c r="D52" s="246" t="str">
        <f t="shared" si="11"/>
        <v/>
      </c>
      <c r="E52" s="246" t="str">
        <f t="shared" si="12"/>
        <v/>
      </c>
      <c r="F52" s="377"/>
      <c r="G52" s="377"/>
      <c r="H52" s="378" t="str">
        <f t="shared" si="13"/>
        <v/>
      </c>
      <c r="I52" s="378"/>
      <c r="J52" s="251" t="str">
        <f t="shared" si="10"/>
        <v/>
      </c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248"/>
      <c r="AG52" s="248"/>
      <c r="AH52" s="248"/>
      <c r="AI52" s="248"/>
      <c r="AJ52" s="248"/>
      <c r="AK52" s="248"/>
      <c r="AS52" s="250" t="str">
        <f t="shared" si="4"/>
        <v/>
      </c>
      <c r="AT52" s="251" t="str">
        <f t="shared" si="5"/>
        <v/>
      </c>
      <c r="AU52" s="251" t="str">
        <f t="shared" si="6"/>
        <v/>
      </c>
      <c r="AV52" s="252" t="str">
        <f t="shared" si="7"/>
        <v/>
      </c>
    </row>
    <row r="53" spans="2:48" s="254" customFormat="1" ht="15" hidden="1" customHeight="1" x14ac:dyDescent="0.2">
      <c r="B53" s="416" t="str">
        <f t="shared" si="8"/>
        <v/>
      </c>
      <c r="C53" s="416"/>
      <c r="D53" s="246" t="str">
        <f t="shared" si="11"/>
        <v/>
      </c>
      <c r="E53" s="246" t="str">
        <f t="shared" si="12"/>
        <v/>
      </c>
      <c r="F53" s="377"/>
      <c r="G53" s="377"/>
      <c r="H53" s="378" t="str">
        <f t="shared" si="13"/>
        <v/>
      </c>
      <c r="I53" s="378"/>
      <c r="J53" s="251" t="str">
        <f t="shared" si="10"/>
        <v/>
      </c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248"/>
      <c r="AG53" s="248"/>
      <c r="AH53" s="248"/>
      <c r="AI53" s="248"/>
      <c r="AJ53" s="248"/>
      <c r="AK53" s="248"/>
      <c r="AS53" s="250" t="str">
        <f t="shared" si="4"/>
        <v/>
      </c>
      <c r="AT53" s="251" t="str">
        <f t="shared" si="5"/>
        <v/>
      </c>
      <c r="AU53" s="251" t="str">
        <f t="shared" si="6"/>
        <v/>
      </c>
      <c r="AV53" s="252" t="str">
        <f t="shared" si="7"/>
        <v/>
      </c>
    </row>
    <row r="54" spans="2:48" s="254" customFormat="1" ht="15" hidden="1" customHeight="1" x14ac:dyDescent="0.2">
      <c r="B54" s="416" t="str">
        <f t="shared" si="8"/>
        <v/>
      </c>
      <c r="C54" s="416"/>
      <c r="D54" s="246" t="str">
        <f t="shared" si="11"/>
        <v/>
      </c>
      <c r="E54" s="246" t="str">
        <f t="shared" si="12"/>
        <v/>
      </c>
      <c r="F54" s="377"/>
      <c r="G54" s="377"/>
      <c r="H54" s="378" t="str">
        <f t="shared" si="13"/>
        <v/>
      </c>
      <c r="I54" s="378"/>
      <c r="J54" s="251" t="str">
        <f t="shared" si="10"/>
        <v/>
      </c>
      <c r="K54" s="247"/>
      <c r="L54" s="247"/>
      <c r="M54" s="247"/>
      <c r="N54" s="247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248"/>
      <c r="AG54" s="248"/>
      <c r="AH54" s="248"/>
      <c r="AI54" s="248"/>
      <c r="AJ54" s="248"/>
      <c r="AK54" s="248"/>
      <c r="AS54" s="250" t="str">
        <f t="shared" si="4"/>
        <v/>
      </c>
      <c r="AT54" s="251" t="str">
        <f t="shared" si="5"/>
        <v/>
      </c>
      <c r="AU54" s="251" t="str">
        <f t="shared" si="6"/>
        <v/>
      </c>
      <c r="AV54" s="252" t="str">
        <f t="shared" si="7"/>
        <v/>
      </c>
    </row>
    <row r="55" spans="2:48" s="254" customFormat="1" ht="15" hidden="1" customHeight="1" x14ac:dyDescent="0.2">
      <c r="B55" s="416" t="str">
        <f t="shared" si="8"/>
        <v/>
      </c>
      <c r="C55" s="416"/>
      <c r="D55" s="246" t="str">
        <f t="shared" si="11"/>
        <v/>
      </c>
      <c r="E55" s="246" t="str">
        <f t="shared" si="12"/>
        <v/>
      </c>
      <c r="F55" s="377"/>
      <c r="G55" s="377"/>
      <c r="H55" s="378" t="str">
        <f t="shared" si="13"/>
        <v/>
      </c>
      <c r="I55" s="378"/>
      <c r="J55" s="251" t="str">
        <f t="shared" si="10"/>
        <v/>
      </c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248"/>
      <c r="AG55" s="248"/>
      <c r="AH55" s="248"/>
      <c r="AI55" s="248"/>
      <c r="AJ55" s="248"/>
      <c r="AK55" s="248"/>
      <c r="AS55" s="250" t="str">
        <f t="shared" si="4"/>
        <v/>
      </c>
      <c r="AT55" s="251" t="str">
        <f t="shared" si="5"/>
        <v/>
      </c>
      <c r="AU55" s="251" t="str">
        <f t="shared" si="6"/>
        <v/>
      </c>
      <c r="AV55" s="252" t="str">
        <f t="shared" si="7"/>
        <v/>
      </c>
    </row>
    <row r="56" spans="2:48" s="254" customFormat="1" ht="15" hidden="1" customHeight="1" x14ac:dyDescent="0.2">
      <c r="B56" s="416" t="str">
        <f t="shared" si="8"/>
        <v/>
      </c>
      <c r="C56" s="416"/>
      <c r="D56" s="246" t="str">
        <f t="shared" si="11"/>
        <v/>
      </c>
      <c r="E56" s="246" t="str">
        <f t="shared" si="12"/>
        <v/>
      </c>
      <c r="F56" s="377"/>
      <c r="G56" s="377"/>
      <c r="H56" s="378" t="str">
        <f t="shared" si="13"/>
        <v/>
      </c>
      <c r="I56" s="378"/>
      <c r="J56" s="251" t="str">
        <f t="shared" si="10"/>
        <v/>
      </c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47"/>
      <c r="AB56" s="247"/>
      <c r="AC56" s="247"/>
      <c r="AD56" s="247"/>
      <c r="AE56" s="247"/>
      <c r="AF56" s="248"/>
      <c r="AG56" s="248"/>
      <c r="AH56" s="248"/>
      <c r="AI56" s="248"/>
      <c r="AJ56" s="248"/>
      <c r="AK56" s="248"/>
      <c r="AS56" s="250" t="str">
        <f t="shared" si="4"/>
        <v/>
      </c>
      <c r="AT56" s="251" t="str">
        <f t="shared" si="5"/>
        <v/>
      </c>
      <c r="AU56" s="251" t="str">
        <f t="shared" si="6"/>
        <v/>
      </c>
      <c r="AV56" s="252" t="str">
        <f t="shared" si="7"/>
        <v/>
      </c>
    </row>
    <row r="57" spans="2:48" s="254" customFormat="1" ht="15" hidden="1" customHeight="1" x14ac:dyDescent="0.2">
      <c r="B57" s="416" t="str">
        <f t="shared" si="8"/>
        <v/>
      </c>
      <c r="C57" s="416"/>
      <c r="D57" s="246" t="str">
        <f t="shared" si="11"/>
        <v/>
      </c>
      <c r="E57" s="246" t="str">
        <f t="shared" si="12"/>
        <v/>
      </c>
      <c r="F57" s="377"/>
      <c r="G57" s="377"/>
      <c r="H57" s="378" t="str">
        <f t="shared" si="13"/>
        <v/>
      </c>
      <c r="I57" s="378"/>
      <c r="J57" s="251" t="str">
        <f t="shared" si="10"/>
        <v/>
      </c>
      <c r="K57" s="247"/>
      <c r="L57" s="247"/>
      <c r="M57" s="247"/>
      <c r="N57" s="247"/>
      <c r="O57" s="247"/>
      <c r="P57" s="247"/>
      <c r="Q57" s="247"/>
      <c r="R57" s="247"/>
      <c r="S57" s="247"/>
      <c r="T57" s="247"/>
      <c r="U57" s="247"/>
      <c r="V57" s="247"/>
      <c r="W57" s="247"/>
      <c r="X57" s="247"/>
      <c r="Y57" s="247"/>
      <c r="Z57" s="247"/>
      <c r="AA57" s="247"/>
      <c r="AB57" s="247"/>
      <c r="AC57" s="247"/>
      <c r="AD57" s="247"/>
      <c r="AE57" s="247"/>
      <c r="AF57" s="248"/>
      <c r="AG57" s="248"/>
      <c r="AH57" s="248"/>
      <c r="AI57" s="248"/>
      <c r="AJ57" s="248"/>
      <c r="AK57" s="248"/>
      <c r="AS57" s="250" t="str">
        <f t="shared" si="4"/>
        <v/>
      </c>
      <c r="AT57" s="251" t="str">
        <f t="shared" si="5"/>
        <v/>
      </c>
      <c r="AU57" s="251" t="str">
        <f t="shared" si="6"/>
        <v/>
      </c>
      <c r="AV57" s="252" t="str">
        <f t="shared" si="7"/>
        <v/>
      </c>
    </row>
    <row r="58" spans="2:48" s="254" customFormat="1" ht="15" hidden="1" customHeight="1" thickBot="1" x14ac:dyDescent="0.25">
      <c r="B58" s="416" t="str">
        <f t="shared" si="8"/>
        <v/>
      </c>
      <c r="C58" s="416"/>
      <c r="D58" s="246" t="str">
        <f t="shared" si="11"/>
        <v/>
      </c>
      <c r="E58" s="246" t="str">
        <f t="shared" si="12"/>
        <v/>
      </c>
      <c r="F58" s="377"/>
      <c r="G58" s="377"/>
      <c r="H58" s="378" t="str">
        <f t="shared" si="13"/>
        <v/>
      </c>
      <c r="I58" s="378"/>
      <c r="J58" s="251" t="str">
        <f t="shared" si="10"/>
        <v/>
      </c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  <c r="Z58" s="247"/>
      <c r="AA58" s="247"/>
      <c r="AB58" s="247"/>
      <c r="AC58" s="247"/>
      <c r="AD58" s="247"/>
      <c r="AE58" s="247"/>
      <c r="AF58" s="248"/>
      <c r="AG58" s="248"/>
      <c r="AH58" s="248"/>
      <c r="AI58" s="248"/>
      <c r="AJ58" s="248"/>
      <c r="AK58" s="248"/>
      <c r="AS58" s="255" t="str">
        <f t="shared" si="4"/>
        <v/>
      </c>
      <c r="AT58" s="256" t="str">
        <f t="shared" si="5"/>
        <v/>
      </c>
      <c r="AU58" s="256" t="str">
        <f t="shared" si="6"/>
        <v/>
      </c>
      <c r="AV58" s="257" t="str">
        <f t="shared" si="7"/>
        <v/>
      </c>
    </row>
    <row r="59" spans="2:48" s="254" customFormat="1" x14ac:dyDescent="0.2">
      <c r="B59" s="258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59"/>
      <c r="X59" s="259"/>
      <c r="Y59" s="259"/>
      <c r="Z59" s="259"/>
      <c r="AA59" s="259"/>
      <c r="AB59" s="259"/>
      <c r="AC59" s="259"/>
      <c r="AD59" s="259"/>
    </row>
    <row r="60" spans="2:48" s="254" customFormat="1" x14ac:dyDescent="0.2">
      <c r="B60" s="258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259"/>
      <c r="AC60" s="259"/>
      <c r="AD60" s="259"/>
    </row>
    <row r="61" spans="2:48" s="261" customFormat="1" x14ac:dyDescent="0.2">
      <c r="B61" s="260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59"/>
      <c r="X61" s="259"/>
      <c r="Y61" s="259"/>
      <c r="Z61" s="259"/>
      <c r="AA61" s="259"/>
      <c r="AB61" s="259"/>
      <c r="AC61" s="259"/>
      <c r="AD61" s="259"/>
    </row>
    <row r="62" spans="2:48" s="261" customFormat="1" x14ac:dyDescent="0.2">
      <c r="K62" s="259"/>
      <c r="L62" s="259"/>
      <c r="M62" s="259"/>
      <c r="N62" s="259"/>
      <c r="O62" s="259"/>
      <c r="P62" s="259"/>
      <c r="Q62" s="259"/>
      <c r="R62" s="259"/>
      <c r="S62" s="259"/>
      <c r="T62" s="259"/>
      <c r="U62" s="259"/>
      <c r="V62" s="259"/>
      <c r="W62" s="259"/>
      <c r="X62" s="259"/>
      <c r="Y62" s="259"/>
      <c r="Z62" s="259"/>
      <c r="AA62" s="259"/>
      <c r="AB62" s="259"/>
      <c r="AC62" s="259"/>
      <c r="AD62" s="259"/>
    </row>
    <row r="63" spans="2:48" s="261" customFormat="1" x14ac:dyDescent="0.2"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</row>
    <row r="64" spans="2:48" s="261" customFormat="1" x14ac:dyDescent="0.2"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59"/>
      <c r="X64" s="259"/>
      <c r="Y64" s="259"/>
      <c r="Z64" s="259"/>
      <c r="AA64" s="259"/>
      <c r="AB64" s="259"/>
      <c r="AC64" s="259"/>
      <c r="AD64" s="259"/>
    </row>
    <row r="65" spans="11:30" s="261" customFormat="1" x14ac:dyDescent="0.2"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59"/>
      <c r="X65" s="259"/>
      <c r="Y65" s="259"/>
      <c r="Z65" s="259"/>
      <c r="AA65" s="259"/>
      <c r="AB65" s="259"/>
      <c r="AC65" s="259"/>
      <c r="AD65" s="259"/>
    </row>
    <row r="66" spans="11:30" s="261" customFormat="1" x14ac:dyDescent="0.2">
      <c r="K66" s="259"/>
      <c r="L66" s="259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259"/>
      <c r="AC66" s="259"/>
      <c r="AD66" s="259"/>
    </row>
    <row r="67" spans="11:30" x14ac:dyDescent="0.2">
      <c r="K67" s="259"/>
      <c r="L67" s="259"/>
      <c r="M67" s="259"/>
      <c r="N67" s="259"/>
      <c r="O67" s="259"/>
      <c r="P67" s="259"/>
      <c r="Q67" s="259"/>
      <c r="R67" s="259"/>
      <c r="S67" s="259"/>
      <c r="T67" s="259"/>
      <c r="U67" s="259"/>
      <c r="V67" s="259"/>
      <c r="W67" s="259"/>
      <c r="X67" s="259"/>
      <c r="Y67" s="259"/>
      <c r="Z67" s="259"/>
      <c r="AA67" s="259"/>
      <c r="AB67" s="259"/>
      <c r="AC67" s="259"/>
      <c r="AD67" s="259"/>
    </row>
    <row r="68" spans="11:30" x14ac:dyDescent="0.2">
      <c r="K68" s="259"/>
      <c r="L68" s="259"/>
      <c r="M68" s="259"/>
      <c r="N68" s="259"/>
      <c r="O68" s="259"/>
      <c r="P68" s="259"/>
      <c r="Q68" s="259"/>
      <c r="R68" s="259"/>
      <c r="S68" s="259"/>
      <c r="T68" s="259"/>
      <c r="U68" s="259"/>
      <c r="V68" s="259"/>
      <c r="W68" s="259"/>
      <c r="X68" s="259"/>
      <c r="Y68" s="259"/>
      <c r="Z68" s="259"/>
      <c r="AA68" s="259"/>
      <c r="AB68" s="259"/>
      <c r="AC68" s="259"/>
      <c r="AD68" s="259"/>
    </row>
    <row r="69" spans="11:30" x14ac:dyDescent="0.2">
      <c r="K69" s="259"/>
      <c r="L69" s="259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259"/>
      <c r="AC69" s="259"/>
      <c r="AD69" s="259"/>
    </row>
    <row r="70" spans="11:30" x14ac:dyDescent="0.2">
      <c r="K70" s="259"/>
      <c r="L70" s="259"/>
      <c r="M70" s="259"/>
      <c r="N70" s="259"/>
      <c r="O70" s="259"/>
      <c r="P70" s="259"/>
      <c r="Q70" s="259"/>
      <c r="R70" s="259"/>
      <c r="S70" s="259"/>
      <c r="T70" s="259"/>
      <c r="U70" s="259"/>
      <c r="V70" s="259"/>
      <c r="W70" s="259"/>
      <c r="X70" s="259"/>
      <c r="Y70" s="259"/>
      <c r="Z70" s="259"/>
      <c r="AA70" s="259"/>
      <c r="AB70" s="259"/>
      <c r="AC70" s="259"/>
      <c r="AD70" s="259"/>
    </row>
    <row r="71" spans="11:30" x14ac:dyDescent="0.2">
      <c r="K71" s="259"/>
      <c r="L71" s="259"/>
      <c r="M71" s="259"/>
      <c r="N71" s="259"/>
      <c r="O71" s="259"/>
      <c r="P71" s="259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59"/>
      <c r="AC71" s="259"/>
      <c r="AD71" s="259"/>
    </row>
    <row r="72" spans="11:30" x14ac:dyDescent="0.2">
      <c r="K72" s="259"/>
      <c r="L72" s="259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259"/>
      <c r="AC72" s="259"/>
      <c r="AD72" s="259"/>
    </row>
    <row r="73" spans="11:30" x14ac:dyDescent="0.2"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</row>
    <row r="74" spans="11:30" x14ac:dyDescent="0.2">
      <c r="K74" s="259"/>
      <c r="L74" s="259"/>
      <c r="M74" s="259"/>
      <c r="N74" s="259"/>
      <c r="O74" s="259"/>
      <c r="P74" s="259"/>
      <c r="Q74" s="259"/>
      <c r="R74" s="259"/>
      <c r="S74" s="259"/>
      <c r="T74" s="259"/>
      <c r="U74" s="259"/>
      <c r="V74" s="259"/>
      <c r="W74" s="259"/>
      <c r="X74" s="259"/>
      <c r="Y74" s="259"/>
      <c r="Z74" s="259"/>
      <c r="AA74" s="259"/>
      <c r="AB74" s="259"/>
      <c r="AC74" s="259"/>
      <c r="AD74" s="259"/>
    </row>
    <row r="75" spans="11:30" x14ac:dyDescent="0.2"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</row>
    <row r="76" spans="11:30" x14ac:dyDescent="0.2">
      <c r="K76" s="259"/>
      <c r="L76" s="259"/>
      <c r="M76" s="259"/>
      <c r="N76" s="259"/>
      <c r="O76" s="259"/>
      <c r="P76" s="259"/>
      <c r="Q76" s="259"/>
      <c r="R76" s="259"/>
      <c r="S76" s="259"/>
      <c r="T76" s="259"/>
      <c r="U76" s="259"/>
      <c r="V76" s="259"/>
      <c r="W76" s="259"/>
      <c r="X76" s="259"/>
      <c r="Y76" s="259"/>
      <c r="Z76" s="259"/>
      <c r="AA76" s="259"/>
      <c r="AB76" s="259"/>
      <c r="AC76" s="259"/>
      <c r="AD76" s="259"/>
    </row>
    <row r="77" spans="11:30" x14ac:dyDescent="0.2">
      <c r="K77" s="259"/>
      <c r="L77" s="259"/>
      <c r="M77" s="259"/>
      <c r="N77" s="259"/>
      <c r="O77" s="259"/>
      <c r="P77" s="259"/>
      <c r="Q77" s="259"/>
      <c r="R77" s="259"/>
      <c r="S77" s="259"/>
      <c r="T77" s="259"/>
      <c r="U77" s="259"/>
      <c r="V77" s="259"/>
      <c r="W77" s="259"/>
      <c r="X77" s="259"/>
      <c r="Y77" s="259"/>
      <c r="Z77" s="259"/>
      <c r="AA77" s="259"/>
      <c r="AB77" s="259"/>
      <c r="AC77" s="259"/>
      <c r="AD77" s="259"/>
    </row>
    <row r="78" spans="11:30" x14ac:dyDescent="0.2">
      <c r="K78" s="259"/>
      <c r="L78" s="259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259"/>
      <c r="AC78" s="259"/>
      <c r="AD78" s="259"/>
    </row>
    <row r="79" spans="11:30" x14ac:dyDescent="0.2"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259"/>
      <c r="Z79" s="259"/>
      <c r="AA79" s="259"/>
      <c r="AB79" s="259"/>
      <c r="AC79" s="259"/>
      <c r="AD79" s="259"/>
    </row>
    <row r="80" spans="11:30" x14ac:dyDescent="0.2">
      <c r="K80" s="259"/>
      <c r="L80" s="259"/>
      <c r="M80" s="259"/>
      <c r="N80" s="259"/>
      <c r="O80" s="259"/>
      <c r="P80" s="259"/>
      <c r="Q80" s="259"/>
      <c r="R80" s="259"/>
      <c r="S80" s="259"/>
      <c r="T80" s="259"/>
      <c r="U80" s="259"/>
      <c r="V80" s="259"/>
      <c r="W80" s="259"/>
      <c r="X80" s="259"/>
      <c r="Y80" s="259"/>
      <c r="Z80" s="259"/>
      <c r="AA80" s="259"/>
      <c r="AB80" s="259"/>
      <c r="AC80" s="259"/>
      <c r="AD80" s="259"/>
    </row>
    <row r="81" spans="11:30" x14ac:dyDescent="0.2">
      <c r="K81" s="259"/>
      <c r="L81" s="259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259"/>
      <c r="AC81" s="259"/>
      <c r="AD81" s="259"/>
    </row>
    <row r="82" spans="11:30" x14ac:dyDescent="0.2">
      <c r="K82" s="259"/>
      <c r="L82" s="259"/>
      <c r="M82" s="259"/>
      <c r="N82" s="259"/>
      <c r="O82" s="259"/>
      <c r="P82" s="259"/>
      <c r="Q82" s="259"/>
      <c r="R82" s="259"/>
      <c r="S82" s="259"/>
      <c r="T82" s="259"/>
      <c r="U82" s="259"/>
      <c r="V82" s="259"/>
      <c r="W82" s="259"/>
      <c r="X82" s="259"/>
      <c r="Y82" s="259"/>
      <c r="Z82" s="259"/>
      <c r="AA82" s="259"/>
      <c r="AB82" s="259"/>
      <c r="AC82" s="259"/>
      <c r="AD82" s="259"/>
    </row>
    <row r="83" spans="11:30" x14ac:dyDescent="0.2">
      <c r="K83" s="259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  <c r="Z83" s="259"/>
      <c r="AA83" s="259"/>
      <c r="AB83" s="259"/>
      <c r="AC83" s="259"/>
      <c r="AD83" s="259"/>
    </row>
    <row r="84" spans="11:30" x14ac:dyDescent="0.2">
      <c r="K84" s="259"/>
      <c r="L84" s="259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259"/>
      <c r="AC84" s="259"/>
      <c r="AD84" s="259"/>
    </row>
    <row r="85" spans="11:30" x14ac:dyDescent="0.2">
      <c r="K85" s="259"/>
      <c r="L85" s="259"/>
      <c r="M85" s="259"/>
      <c r="N85" s="259"/>
      <c r="O85" s="259"/>
      <c r="P85" s="259"/>
      <c r="Q85" s="259"/>
      <c r="R85" s="259"/>
      <c r="S85" s="259"/>
      <c r="T85" s="259"/>
      <c r="U85" s="259"/>
      <c r="V85" s="259"/>
      <c r="W85" s="259"/>
      <c r="X85" s="259"/>
      <c r="Y85" s="259"/>
      <c r="Z85" s="259"/>
      <c r="AA85" s="259"/>
      <c r="AB85" s="259"/>
      <c r="AC85" s="259"/>
      <c r="AD85" s="259"/>
    </row>
    <row r="86" spans="11:30" x14ac:dyDescent="0.2"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</row>
    <row r="87" spans="11:30" x14ac:dyDescent="0.2"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</row>
    <row r="88" spans="11:30" x14ac:dyDescent="0.2">
      <c r="K88" s="259"/>
      <c r="L88" s="259"/>
      <c r="M88" s="259"/>
      <c r="N88" s="259"/>
      <c r="O88" s="259"/>
      <c r="P88" s="259"/>
      <c r="Q88" s="259"/>
      <c r="R88" s="259"/>
      <c r="S88" s="259"/>
      <c r="T88" s="259"/>
      <c r="U88" s="259"/>
      <c r="V88" s="259"/>
      <c r="W88" s="259"/>
      <c r="X88" s="259"/>
      <c r="Y88" s="259"/>
      <c r="Z88" s="259"/>
      <c r="AA88" s="259"/>
      <c r="AB88" s="259"/>
      <c r="AC88" s="259"/>
      <c r="AD88" s="259"/>
    </row>
    <row r="89" spans="11:30" x14ac:dyDescent="0.2">
      <c r="K89" s="259"/>
      <c r="L89" s="259"/>
      <c r="M89" s="259"/>
      <c r="N89" s="259"/>
      <c r="O89" s="259"/>
      <c r="P89" s="259"/>
      <c r="Q89" s="259"/>
      <c r="R89" s="259"/>
      <c r="S89" s="259"/>
      <c r="T89" s="259"/>
      <c r="U89" s="259"/>
      <c r="V89" s="259"/>
      <c r="W89" s="259"/>
      <c r="X89" s="259"/>
      <c r="Y89" s="259"/>
      <c r="Z89" s="259"/>
      <c r="AA89" s="259"/>
      <c r="AB89" s="259"/>
      <c r="AC89" s="259"/>
      <c r="AD89" s="259"/>
    </row>
    <row r="90" spans="11:30" x14ac:dyDescent="0.2"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</row>
    <row r="91" spans="11:30" x14ac:dyDescent="0.2"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</row>
    <row r="92" spans="11:30" x14ac:dyDescent="0.2"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</row>
    <row r="93" spans="11:30" x14ac:dyDescent="0.2">
      <c r="K93" s="259"/>
      <c r="L93" s="259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259"/>
      <c r="AC93" s="259"/>
      <c r="AD93" s="259"/>
    </row>
    <row r="94" spans="11:30" x14ac:dyDescent="0.2">
      <c r="K94" s="259"/>
      <c r="L94" s="259"/>
      <c r="M94" s="259"/>
      <c r="N94" s="259"/>
      <c r="O94" s="259"/>
      <c r="P94" s="259"/>
      <c r="Q94" s="259"/>
      <c r="R94" s="259"/>
      <c r="S94" s="259"/>
      <c r="T94" s="259"/>
      <c r="U94" s="259"/>
      <c r="V94" s="259"/>
      <c r="W94" s="259"/>
      <c r="X94" s="259"/>
      <c r="Y94" s="259"/>
      <c r="Z94" s="259"/>
      <c r="AA94" s="259"/>
      <c r="AB94" s="259"/>
      <c r="AC94" s="259"/>
      <c r="AD94" s="259"/>
    </row>
    <row r="95" spans="11:30" x14ac:dyDescent="0.2">
      <c r="K95" s="259"/>
      <c r="L95" s="259"/>
      <c r="M95" s="259"/>
      <c r="N95" s="259"/>
      <c r="O95" s="259"/>
      <c r="P95" s="259"/>
      <c r="Q95" s="259"/>
      <c r="R95" s="259"/>
      <c r="S95" s="259"/>
      <c r="T95" s="259"/>
      <c r="U95" s="259"/>
      <c r="V95" s="259"/>
      <c r="W95" s="259"/>
      <c r="X95" s="259"/>
      <c r="Y95" s="259"/>
      <c r="Z95" s="259"/>
      <c r="AA95" s="259"/>
      <c r="AB95" s="259"/>
      <c r="AC95" s="259"/>
      <c r="AD95" s="259"/>
    </row>
    <row r="96" spans="11:30" x14ac:dyDescent="0.2">
      <c r="K96" s="259"/>
      <c r="L96" s="259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259"/>
      <c r="AC96" s="259"/>
      <c r="AD96" s="259"/>
    </row>
    <row r="97" spans="11:94" x14ac:dyDescent="0.2">
      <c r="K97" s="259"/>
      <c r="L97" s="259"/>
      <c r="M97" s="259"/>
      <c r="N97" s="259"/>
      <c r="O97" s="259"/>
      <c r="P97" s="259"/>
      <c r="Q97" s="259"/>
      <c r="R97" s="259"/>
      <c r="S97" s="259"/>
      <c r="T97" s="259"/>
      <c r="U97" s="259"/>
      <c r="V97" s="259"/>
      <c r="W97" s="259"/>
      <c r="X97" s="259"/>
      <c r="Y97" s="259"/>
      <c r="Z97" s="259"/>
      <c r="AA97" s="259"/>
      <c r="AB97" s="259"/>
      <c r="AC97" s="259"/>
      <c r="AD97" s="259"/>
    </row>
    <row r="98" spans="11:94" x14ac:dyDescent="0.2">
      <c r="K98" s="259"/>
      <c r="L98" s="259"/>
      <c r="M98" s="259"/>
      <c r="N98" s="259"/>
      <c r="O98" s="259"/>
      <c r="P98" s="259"/>
      <c r="Q98" s="259"/>
      <c r="R98" s="259"/>
      <c r="S98" s="259"/>
      <c r="T98" s="259"/>
      <c r="U98" s="259"/>
      <c r="V98" s="259"/>
      <c r="W98" s="259"/>
      <c r="X98" s="259"/>
      <c r="Y98" s="259"/>
      <c r="Z98" s="259"/>
      <c r="AA98" s="259"/>
      <c r="AB98" s="259"/>
      <c r="AC98" s="259"/>
      <c r="AD98" s="259"/>
    </row>
    <row r="99" spans="11:94" x14ac:dyDescent="0.2">
      <c r="K99" s="259"/>
      <c r="L99" s="259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259"/>
      <c r="AC99" s="259"/>
      <c r="AD99" s="259"/>
    </row>
    <row r="100" spans="11:94" ht="31.5" x14ac:dyDescent="0.25">
      <c r="K100" s="259"/>
      <c r="L100" s="259"/>
      <c r="M100" s="259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259"/>
      <c r="Z100" s="259"/>
      <c r="AA100" s="259"/>
      <c r="AB100" s="259"/>
      <c r="AC100" s="259"/>
      <c r="AD100" s="259"/>
      <c r="AR100" s="262"/>
      <c r="AS100" s="420" t="s">
        <v>413</v>
      </c>
      <c r="AT100" s="420"/>
      <c r="AU100" s="420"/>
      <c r="AV100" s="420"/>
      <c r="AW100" s="420"/>
      <c r="AX100" s="420"/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420"/>
      <c r="BJ100" s="420"/>
      <c r="BK100" s="420"/>
      <c r="BL100" s="263"/>
      <c r="BM100" s="262"/>
      <c r="BN100" s="262"/>
      <c r="BO100" s="262"/>
      <c r="BP100" s="262"/>
      <c r="BQ100" s="262"/>
      <c r="BR100" s="262"/>
      <c r="BS100" s="262"/>
      <c r="BT100" s="264" t="s">
        <v>452</v>
      </c>
      <c r="BU100" s="262"/>
      <c r="BV100" s="262"/>
      <c r="BW100" s="264" t="s">
        <v>453</v>
      </c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</row>
    <row r="101" spans="11:94" ht="15.75" hidden="1" thickBot="1" x14ac:dyDescent="0.3">
      <c r="K101" s="259"/>
      <c r="L101" s="259"/>
      <c r="M101" s="259"/>
      <c r="N101" s="259"/>
      <c r="O101" s="259"/>
      <c r="P101" s="259"/>
      <c r="Q101" s="259"/>
      <c r="R101" s="259"/>
      <c r="S101" s="259"/>
      <c r="T101" s="259"/>
      <c r="U101" s="259"/>
      <c r="V101" s="259"/>
      <c r="W101" s="259"/>
      <c r="X101" s="259"/>
      <c r="Y101" s="259"/>
      <c r="Z101" s="259"/>
      <c r="AA101" s="259"/>
      <c r="AB101" s="259"/>
      <c r="AC101" s="259"/>
      <c r="AD101" s="259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5"/>
      <c r="BN101" s="266" t="s">
        <v>271</v>
      </c>
      <c r="BO101" s="267" t="s">
        <v>272</v>
      </c>
      <c r="BP101" s="267" t="s">
        <v>273</v>
      </c>
      <c r="BQ101" s="268" t="s">
        <v>273</v>
      </c>
      <c r="BR101" s="266" t="s">
        <v>274</v>
      </c>
      <c r="BS101" s="267" t="s">
        <v>275</v>
      </c>
      <c r="BT101" s="268" t="s">
        <v>276</v>
      </c>
      <c r="BU101" s="266" t="s">
        <v>277</v>
      </c>
      <c r="BV101" s="267" t="s">
        <v>278</v>
      </c>
      <c r="BW101" s="268" t="s">
        <v>279</v>
      </c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</row>
    <row r="102" spans="11:94" ht="21.75" hidden="1" thickBot="1" x14ac:dyDescent="0.25">
      <c r="K102" s="259"/>
      <c r="L102" s="259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259"/>
      <c r="AC102" s="259"/>
      <c r="AD102" s="259"/>
      <c r="AR102" s="269"/>
      <c r="AS102" s="430" t="s">
        <v>454</v>
      </c>
      <c r="AT102" s="431"/>
      <c r="AU102" s="421" t="s">
        <v>465</v>
      </c>
      <c r="AV102" s="422"/>
      <c r="AW102" s="422"/>
      <c r="AX102" s="422"/>
      <c r="AY102" s="422"/>
      <c r="AZ102" s="422"/>
      <c r="BA102" s="422"/>
      <c r="BB102" s="422"/>
      <c r="BC102" s="422"/>
      <c r="BD102" s="422"/>
      <c r="BE102" s="422"/>
      <c r="BF102" s="422"/>
      <c r="BG102" s="422"/>
      <c r="BH102" s="425" t="s">
        <v>264</v>
      </c>
      <c r="BI102" s="426"/>
      <c r="BJ102" s="269"/>
      <c r="BK102" s="269"/>
      <c r="BL102" s="269"/>
      <c r="BM102" s="284" t="s">
        <v>280</v>
      </c>
      <c r="BN102" s="270">
        <v>0</v>
      </c>
      <c r="BO102" s="271">
        <v>50</v>
      </c>
      <c r="BP102" s="271">
        <v>50</v>
      </c>
      <c r="BQ102" s="272">
        <v>60</v>
      </c>
      <c r="BR102" s="273">
        <v>1</v>
      </c>
      <c r="BS102" s="274">
        <v>50</v>
      </c>
      <c r="BT102" s="275">
        <f>SUM(INDEX(V_XP_5Star,BR102):INDEX(V_XP_5Star,BS102-1))</f>
        <v>963806</v>
      </c>
      <c r="BU102" s="273">
        <v>1</v>
      </c>
      <c r="BV102" s="274">
        <v>60</v>
      </c>
      <c r="BW102" s="275">
        <f>SUM(INDEX(V_XP_6Star,BU102):INDEX(V_XP_6Star,BV102-1))</f>
        <v>2010669</v>
      </c>
      <c r="BX102" s="269"/>
      <c r="BY102" s="269"/>
      <c r="BZ102" s="269"/>
      <c r="CA102" s="269"/>
      <c r="CB102" s="269"/>
      <c r="CC102" s="269"/>
      <c r="CD102" s="269"/>
      <c r="CE102" s="269"/>
      <c r="CF102" s="269"/>
      <c r="CG102" s="269"/>
      <c r="CH102" s="269"/>
      <c r="CI102" s="269"/>
      <c r="CJ102" s="269"/>
      <c r="CK102" s="269"/>
      <c r="CL102" s="269"/>
      <c r="CM102" s="269"/>
      <c r="CN102" s="269"/>
      <c r="CO102" s="269"/>
      <c r="CP102" s="269"/>
    </row>
    <row r="103" spans="11:94" ht="21.75" hidden="1" thickBot="1" x14ac:dyDescent="0.25">
      <c r="K103" s="259"/>
      <c r="L103" s="259"/>
      <c r="M103" s="259"/>
      <c r="N103" s="259"/>
      <c r="O103" s="259"/>
      <c r="P103" s="259"/>
      <c r="Q103" s="259"/>
      <c r="R103" s="259"/>
      <c r="S103" s="259"/>
      <c r="T103" s="259"/>
      <c r="U103" s="259"/>
      <c r="V103" s="259"/>
      <c r="W103" s="259"/>
      <c r="X103" s="259"/>
      <c r="Y103" s="259"/>
      <c r="Z103" s="259"/>
      <c r="AA103" s="259"/>
      <c r="AB103" s="259"/>
      <c r="AC103" s="259"/>
      <c r="AD103" s="259"/>
      <c r="AR103" s="269"/>
      <c r="AS103" s="430"/>
      <c r="AT103" s="431"/>
      <c r="AU103" s="423"/>
      <c r="AV103" s="424"/>
      <c r="AW103" s="424"/>
      <c r="AX103" s="424"/>
      <c r="AY103" s="424"/>
      <c r="AZ103" s="424"/>
      <c r="BA103" s="424"/>
      <c r="BB103" s="424"/>
      <c r="BC103" s="424"/>
      <c r="BD103" s="424"/>
      <c r="BE103" s="424"/>
      <c r="BF103" s="424"/>
      <c r="BG103" s="424"/>
      <c r="BH103" s="427" t="s">
        <v>267</v>
      </c>
      <c r="BI103" s="428"/>
      <c r="BJ103" s="269"/>
      <c r="BK103" s="269"/>
      <c r="BL103" s="269"/>
      <c r="BM103" s="288" t="s">
        <v>281</v>
      </c>
      <c r="BN103" s="276">
        <f>IF(AU103="✦✦✦✦✦",5,IF(AU103="✦✦✦✦✧",4,IF(AU103="✦✦✦✧✧",3,IF(AU103="✦✦✧✧✧",2,IF(AU103="✦✧✧✧✧",1,0)))))</f>
        <v>0</v>
      </c>
      <c r="BO103" s="277">
        <v>6</v>
      </c>
      <c r="BP103" s="277">
        <f>BO103-BN103</f>
        <v>6</v>
      </c>
      <c r="BQ103" s="278" t="str">
        <f>BH103</f>
        <v>Magic</v>
      </c>
      <c r="BR103" s="269"/>
      <c r="BS103" s="269"/>
      <c r="BT103" s="269"/>
      <c r="BU103" s="269"/>
      <c r="BV103" s="269"/>
      <c r="BW103" s="269"/>
      <c r="BX103" s="269"/>
      <c r="BY103" s="269"/>
      <c r="BZ103" s="269"/>
      <c r="CA103" s="269"/>
      <c r="CB103" s="269"/>
      <c r="CC103" s="269"/>
      <c r="CD103" s="269"/>
      <c r="CE103" s="269"/>
      <c r="CF103" s="269"/>
      <c r="CG103" s="269"/>
      <c r="CH103" s="269"/>
      <c r="CI103" s="269"/>
      <c r="CJ103" s="269"/>
      <c r="CK103" s="269"/>
      <c r="CL103" s="269"/>
      <c r="CM103" s="269"/>
      <c r="CN103" s="269"/>
      <c r="CO103" s="269"/>
      <c r="CP103" s="269"/>
    </row>
    <row r="104" spans="11:94" ht="32.25" hidden="1" thickBot="1" x14ac:dyDescent="0.3"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A104" s="259"/>
      <c r="AB104" s="259"/>
      <c r="AC104" s="259"/>
      <c r="AD104" s="259"/>
      <c r="AR104" s="279">
        <f>IF(AS104=1,IF(AX104=1,IF(BC104=1,IF(BH104=1,1,0),0),0),0)</f>
        <v>0</v>
      </c>
      <c r="AS104" s="429">
        <f>IF(AU107="50/50",IF(AU108="✦✦✦✦✦",1,0),0)</f>
        <v>0</v>
      </c>
      <c r="AT104" s="429"/>
      <c r="AU104" s="429"/>
      <c r="AV104" s="429"/>
      <c r="AW104" s="262"/>
      <c r="AX104" s="429">
        <f>IF(AZ107="50/50",IF(AZ108="✦✦✦✦✦",1,0),0)</f>
        <v>0</v>
      </c>
      <c r="AY104" s="429"/>
      <c r="AZ104" s="429"/>
      <c r="BA104" s="429"/>
      <c r="BB104" s="262"/>
      <c r="BC104" s="429">
        <f>IF(BE107="50/50",IF(BE108="✦✦✦✦✦",1,0),0)</f>
        <v>0</v>
      </c>
      <c r="BD104" s="429"/>
      <c r="BE104" s="429"/>
      <c r="BF104" s="429"/>
      <c r="BG104" s="262"/>
      <c r="BH104" s="429">
        <f>IF(BJ107="50/50",IF(BJ108="✦✦✦✦✦",1,0),0)</f>
        <v>0</v>
      </c>
      <c r="BI104" s="429"/>
      <c r="BJ104" s="429"/>
      <c r="BK104" s="429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</row>
    <row r="105" spans="11:94" ht="32.25" hidden="1" customHeight="1" thickBot="1" x14ac:dyDescent="0.25">
      <c r="K105" s="259"/>
      <c r="L105" s="259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259"/>
      <c r="AC105" s="259"/>
      <c r="AD105" s="259"/>
      <c r="AR105" s="269"/>
      <c r="AS105" s="432" t="s">
        <v>420</v>
      </c>
      <c r="AT105" s="433"/>
      <c r="AU105" s="433"/>
      <c r="AV105" s="434"/>
      <c r="AW105" s="280"/>
      <c r="AX105" s="432" t="s">
        <v>461</v>
      </c>
      <c r="AY105" s="433"/>
      <c r="AZ105" s="433"/>
      <c r="BA105" s="434"/>
      <c r="BB105" s="280"/>
      <c r="BC105" s="432" t="s">
        <v>462</v>
      </c>
      <c r="BD105" s="433"/>
      <c r="BE105" s="433"/>
      <c r="BF105" s="434"/>
      <c r="BG105" s="280"/>
      <c r="BH105" s="432" t="s">
        <v>419</v>
      </c>
      <c r="BI105" s="433"/>
      <c r="BJ105" s="433"/>
      <c r="BK105" s="434"/>
      <c r="BL105" s="269"/>
      <c r="BM105" s="269"/>
      <c r="BN105" s="435" t="str">
        <f>HF_Epic_Champion1</f>
        <v>Fenshi</v>
      </c>
      <c r="BO105" s="436"/>
      <c r="BP105" s="436"/>
      <c r="BQ105" s="437"/>
      <c r="BR105" s="438" t="str">
        <f>HF_Epic_Champion2</f>
        <v>Giscard the Sigiled</v>
      </c>
      <c r="BS105" s="439"/>
      <c r="BT105" s="439"/>
      <c r="BU105" s="440"/>
      <c r="BV105" s="438" t="str">
        <f>HF_Epic_Champion3</f>
        <v>Skimfos the Consumed</v>
      </c>
      <c r="BW105" s="439"/>
      <c r="BX105" s="439"/>
      <c r="BY105" s="440"/>
      <c r="BZ105" s="438" t="str">
        <f>HF_Epic_Champion4</f>
        <v>Mordecai</v>
      </c>
      <c r="CA105" s="439"/>
      <c r="CB105" s="439"/>
      <c r="CC105" s="440"/>
      <c r="CD105" s="269"/>
      <c r="CE105" s="269"/>
      <c r="CF105" s="269"/>
      <c r="CG105" s="269"/>
      <c r="CH105" s="269"/>
      <c r="CI105" s="269"/>
      <c r="CJ105" s="269"/>
      <c r="CK105" s="269"/>
      <c r="CL105" s="269"/>
      <c r="CM105" s="269"/>
      <c r="CN105" s="269"/>
      <c r="CO105" s="269"/>
      <c r="CP105" s="269"/>
    </row>
    <row r="106" spans="11:94" ht="16.5" hidden="1" customHeight="1" thickTop="1" thickBot="1" x14ac:dyDescent="0.25"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  <c r="AA106" s="259"/>
      <c r="AB106" s="259"/>
      <c r="AC106" s="259"/>
      <c r="AD106" s="259"/>
      <c r="AR106" s="269"/>
      <c r="AS106" s="441" t="s">
        <v>38</v>
      </c>
      <c r="AT106" s="442"/>
      <c r="AU106" s="443" t="s">
        <v>265</v>
      </c>
      <c r="AV106" s="444"/>
      <c r="AW106" s="269"/>
      <c r="AX106" s="445" t="s">
        <v>38</v>
      </c>
      <c r="AY106" s="446"/>
      <c r="AZ106" s="447" t="s">
        <v>266</v>
      </c>
      <c r="BA106" s="448"/>
      <c r="BB106" s="269"/>
      <c r="BC106" s="445" t="s">
        <v>38</v>
      </c>
      <c r="BD106" s="446"/>
      <c r="BE106" s="447" t="s">
        <v>268</v>
      </c>
      <c r="BF106" s="448"/>
      <c r="BG106" s="269"/>
      <c r="BH106" s="449" t="s">
        <v>38</v>
      </c>
      <c r="BI106" s="450"/>
      <c r="BJ106" s="451" t="s">
        <v>265</v>
      </c>
      <c r="BK106" s="452"/>
      <c r="BL106" s="269"/>
      <c r="BM106" s="265"/>
      <c r="BN106" s="281" t="s">
        <v>271</v>
      </c>
      <c r="BO106" s="282" t="s">
        <v>272</v>
      </c>
      <c r="BP106" s="282" t="s">
        <v>282</v>
      </c>
      <c r="BQ106" s="283" t="s">
        <v>273</v>
      </c>
      <c r="BR106" s="281" t="s">
        <v>271</v>
      </c>
      <c r="BS106" s="282" t="s">
        <v>272</v>
      </c>
      <c r="BT106" s="282" t="s">
        <v>282</v>
      </c>
      <c r="BU106" s="283" t="s">
        <v>273</v>
      </c>
      <c r="BV106" s="281" t="s">
        <v>271</v>
      </c>
      <c r="BW106" s="282" t="s">
        <v>272</v>
      </c>
      <c r="BX106" s="282" t="s">
        <v>282</v>
      </c>
      <c r="BY106" s="283" t="s">
        <v>273</v>
      </c>
      <c r="BZ106" s="281" t="s">
        <v>271</v>
      </c>
      <c r="CA106" s="282" t="s">
        <v>272</v>
      </c>
      <c r="CB106" s="282" t="s">
        <v>282</v>
      </c>
      <c r="CC106" s="283" t="s">
        <v>273</v>
      </c>
      <c r="CD106" s="269"/>
      <c r="CE106" s="269"/>
      <c r="CF106" s="269"/>
      <c r="CG106" s="269"/>
      <c r="CH106" s="269"/>
      <c r="CI106" s="269"/>
      <c r="CJ106" s="269"/>
      <c r="CK106" s="269"/>
      <c r="CL106" s="269"/>
      <c r="CM106" s="269"/>
      <c r="CN106" s="269"/>
      <c r="CO106" s="269"/>
      <c r="CP106" s="269"/>
    </row>
    <row r="107" spans="11:94" ht="16.5" hidden="1" customHeight="1" x14ac:dyDescent="0.2">
      <c r="K107" s="259"/>
      <c r="L107" s="259"/>
      <c r="M107" s="259"/>
      <c r="N107" s="259"/>
      <c r="O107" s="259"/>
      <c r="P107" s="259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259"/>
      <c r="AB107" s="259"/>
      <c r="AC107" s="259"/>
      <c r="AD107" s="259"/>
      <c r="AR107" s="269"/>
      <c r="AS107" s="453" t="s">
        <v>280</v>
      </c>
      <c r="AT107" s="454"/>
      <c r="AU107" s="455"/>
      <c r="AV107" s="456"/>
      <c r="AW107" s="269"/>
      <c r="AX107" s="457" t="s">
        <v>280</v>
      </c>
      <c r="AY107" s="458"/>
      <c r="AZ107" s="455"/>
      <c r="BA107" s="456"/>
      <c r="BB107" s="269"/>
      <c r="BC107" s="457" t="s">
        <v>280</v>
      </c>
      <c r="BD107" s="458"/>
      <c r="BE107" s="455"/>
      <c r="BF107" s="456"/>
      <c r="BG107" s="269"/>
      <c r="BH107" s="459" t="s">
        <v>280</v>
      </c>
      <c r="BI107" s="460"/>
      <c r="BJ107" s="461"/>
      <c r="BK107" s="462"/>
      <c r="BL107" s="269"/>
      <c r="BM107" s="284" t="s">
        <v>280</v>
      </c>
      <c r="BN107" s="285">
        <f>IF(AU107="",0,VALUE(LEFT(AU107,FIND("/",AU107)-1)))</f>
        <v>0</v>
      </c>
      <c r="BO107" s="286">
        <f>IF(AU107="",0,VALUE(RIGHT(AU107,2)))</f>
        <v>0</v>
      </c>
      <c r="BP107" s="286">
        <f>IF(BO107=50,0,IF(BO107=0,40,40-BN107))</f>
        <v>40</v>
      </c>
      <c r="BQ107" s="287">
        <f>IF(BO107=0,50,IF(BO107=40,50,BO107-BN107))</f>
        <v>50</v>
      </c>
      <c r="BR107" s="285">
        <f>IF(AZ107="",0,VALUE(LEFT(AZ107,FIND("/",AZ107)-1)))</f>
        <v>0</v>
      </c>
      <c r="BS107" s="286">
        <f>IF(AZ107="",0,VALUE(RIGHT(AZ107,2)))</f>
        <v>0</v>
      </c>
      <c r="BT107" s="286">
        <f>IF(BS107=50,0,IF(BS107=0,40,40-BR107))</f>
        <v>40</v>
      </c>
      <c r="BU107" s="287">
        <f>IF(BS107=0,50,IF(BS107=40,50,BS107-BR107))</f>
        <v>50</v>
      </c>
      <c r="BV107" s="285">
        <f>IF(BE107="",0,VALUE(LEFT(BE107,FIND("/",BE107)-1)))</f>
        <v>0</v>
      </c>
      <c r="BW107" s="286">
        <f>IF(BE107="",0,VALUE(RIGHT(BE107,2)))</f>
        <v>0</v>
      </c>
      <c r="BX107" s="286">
        <f>IF(BW107=50,0,IF(BW107=0,40,40-BV107))</f>
        <v>40</v>
      </c>
      <c r="BY107" s="287">
        <f>IF(BW107=0,50,IF(BW107=40,50,BW107-BV107))</f>
        <v>50</v>
      </c>
      <c r="BZ107" s="285">
        <f>IF(BJ107="",0,VALUE(LEFT(BJ107,FIND("/",BJ107)-1)))</f>
        <v>0</v>
      </c>
      <c r="CA107" s="286">
        <f>IF(BJ107="",0,VALUE(RIGHT(BJ107,2)))</f>
        <v>0</v>
      </c>
      <c r="CB107" s="286">
        <f>IF(CA107=50,0,IF(CA107=0,40,40-BZ107))</f>
        <v>40</v>
      </c>
      <c r="CC107" s="287">
        <f>IF(CA107=0,50,IF(CA107=40,50,CA107-BZ107))</f>
        <v>50</v>
      </c>
      <c r="CD107" s="269"/>
      <c r="CE107" s="269"/>
      <c r="CF107" s="269"/>
      <c r="CG107" s="269"/>
      <c r="CH107" s="269"/>
      <c r="CI107" s="269"/>
      <c r="CJ107" s="269"/>
      <c r="CK107" s="269"/>
      <c r="CL107" s="269"/>
      <c r="CM107" s="269"/>
      <c r="CN107" s="269"/>
      <c r="CO107" s="269"/>
      <c r="CP107" s="269"/>
    </row>
    <row r="108" spans="11:94" ht="22.5" hidden="1" customHeight="1" thickBot="1" x14ac:dyDescent="0.25">
      <c r="K108" s="259"/>
      <c r="L108" s="259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259"/>
      <c r="AC108" s="259"/>
      <c r="AD108" s="259"/>
      <c r="AR108" s="269"/>
      <c r="AS108" s="463" t="s">
        <v>281</v>
      </c>
      <c r="AT108" s="464"/>
      <c r="AU108" s="465" t="s">
        <v>137</v>
      </c>
      <c r="AV108" s="466"/>
      <c r="AW108" s="269"/>
      <c r="AX108" s="467" t="s">
        <v>281</v>
      </c>
      <c r="AY108" s="468"/>
      <c r="AZ108" s="465" t="s">
        <v>137</v>
      </c>
      <c r="BA108" s="466"/>
      <c r="BB108" s="269"/>
      <c r="BC108" s="467" t="s">
        <v>281</v>
      </c>
      <c r="BD108" s="468"/>
      <c r="BE108" s="465" t="s">
        <v>137</v>
      </c>
      <c r="BF108" s="466"/>
      <c r="BG108" s="269"/>
      <c r="BH108" s="469" t="s">
        <v>281</v>
      </c>
      <c r="BI108" s="470"/>
      <c r="BJ108" s="471" t="s">
        <v>137</v>
      </c>
      <c r="BK108" s="472"/>
      <c r="BL108" s="269"/>
      <c r="BM108" s="288" t="s">
        <v>281</v>
      </c>
      <c r="BN108" s="276">
        <f>IF(AU108="✦✦✦✦✦",5,IF(AU108="✦✦✦✦✧",4,IF(AU108="✦✦✦✧✧",3,IF(AU108="✦✦✧✧✧",2,IF(AU108="✦✧✧✧✧",1,0)))))</f>
        <v>0</v>
      </c>
      <c r="BO108" s="277">
        <v>5</v>
      </c>
      <c r="BP108" s="277">
        <f>BO108-BN108</f>
        <v>5</v>
      </c>
      <c r="BQ108" s="278" t="str">
        <f>AU106</f>
        <v>Force</v>
      </c>
      <c r="BR108" s="276">
        <f>IF(AZ108="✦✦✦✦✦",5,IF(AZ108="✦✦✦✦✧",4,IF(AZ108="✦✦✦✧✧",3,IF(AZ108="✦✦✧✧✧",2,IF(AZ108="✦✧✧✧✧",1,0)))))</f>
        <v>0</v>
      </c>
      <c r="BS108" s="277">
        <v>5</v>
      </c>
      <c r="BT108" s="277">
        <f>BS108-BR108</f>
        <v>5</v>
      </c>
      <c r="BU108" s="278" t="str">
        <f>AZ106</f>
        <v>Spirit</v>
      </c>
      <c r="BV108" s="276">
        <f>IF(BE108="✦✦✦✦✦",5,IF(BE108="✦✦✦✦✧",4,IF(BE108="✦✦✦✧✧",3,IF(BE108="✦✦✧✧✧",2,IF(BE108="✦✧✧✧✧",1,0)))))</f>
        <v>0</v>
      </c>
      <c r="BW108" s="277">
        <v>5</v>
      </c>
      <c r="BX108" s="277">
        <f>BW108-BV108</f>
        <v>5</v>
      </c>
      <c r="BY108" s="278" t="str">
        <f>BE106</f>
        <v>Void</v>
      </c>
      <c r="BZ108" s="276">
        <f>IF(BJ108="✦✦✦✦✦",5,IF(BJ108="✦✦✦✦✧",4,IF(BJ108="✦✦✦✧✧",3,IF(BJ108="✦✦✧✧✧",2,IF(BJ108="✦✧✧✧✧",1,0)))))</f>
        <v>0</v>
      </c>
      <c r="CA108" s="277">
        <v>5</v>
      </c>
      <c r="CB108" s="277">
        <f>CA108-BZ108</f>
        <v>5</v>
      </c>
      <c r="CC108" s="278" t="str">
        <f>BJ106</f>
        <v>Force</v>
      </c>
      <c r="CD108" s="269"/>
      <c r="CE108" s="269"/>
      <c r="CF108" s="269"/>
      <c r="CG108" s="269"/>
      <c r="CH108" s="269"/>
      <c r="CI108" s="269"/>
      <c r="CJ108" s="269"/>
      <c r="CK108" s="269"/>
      <c r="CL108" s="269"/>
      <c r="CM108" s="269"/>
      <c r="CN108" s="269"/>
      <c r="CO108" s="269"/>
      <c r="CP108" s="269"/>
    </row>
    <row r="109" spans="11:94" ht="15.75" hidden="1" thickBot="1" x14ac:dyDescent="0.3"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A109" s="259"/>
      <c r="AB109" s="259"/>
      <c r="AC109" s="259"/>
      <c r="AD109" s="259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89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</row>
    <row r="110" spans="11:94" ht="21.75" hidden="1" thickBot="1" x14ac:dyDescent="0.3"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A110" s="259"/>
      <c r="AB110" s="259"/>
      <c r="AC110" s="259"/>
      <c r="AD110" s="259"/>
      <c r="AR110" s="262"/>
      <c r="AS110" s="290" t="s">
        <v>284</v>
      </c>
      <c r="AT110" s="291"/>
      <c r="AU110" s="473" t="s">
        <v>35</v>
      </c>
      <c r="AV110" s="474"/>
      <c r="AW110" s="262"/>
      <c r="AX110" s="475" t="s">
        <v>285</v>
      </c>
      <c r="AY110" s="476"/>
      <c r="AZ110" s="476"/>
      <c r="BA110" s="477"/>
      <c r="BB110" s="262"/>
      <c r="BC110" s="475" t="s">
        <v>285</v>
      </c>
      <c r="BD110" s="476"/>
      <c r="BE110" s="476"/>
      <c r="BF110" s="477"/>
      <c r="BG110" s="262"/>
      <c r="BH110" s="478" t="s">
        <v>286</v>
      </c>
      <c r="BI110" s="479"/>
      <c r="BJ110" s="479"/>
      <c r="BK110" s="480"/>
      <c r="BL110" s="292"/>
      <c r="BM110" s="289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</row>
    <row r="111" spans="11:94" ht="21.75" hidden="1" thickBot="1" x14ac:dyDescent="0.4"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259"/>
      <c r="AC111" s="259"/>
      <c r="AD111" s="259"/>
      <c r="AR111" s="262"/>
      <c r="AS111" s="290" t="s">
        <v>292</v>
      </c>
      <c r="AT111" s="291"/>
      <c r="AU111" s="481" t="s">
        <v>259</v>
      </c>
      <c r="AV111" s="482"/>
      <c r="AW111" s="262"/>
      <c r="AX111" s="483" t="s">
        <v>293</v>
      </c>
      <c r="AY111" s="484"/>
      <c r="AZ111" s="484"/>
      <c r="BA111" s="485"/>
      <c r="BB111" s="262"/>
      <c r="BC111" s="483" t="s">
        <v>294</v>
      </c>
      <c r="BD111" s="484"/>
      <c r="BE111" s="484"/>
      <c r="BF111" s="485"/>
      <c r="BG111" s="262"/>
      <c r="BH111" s="293" t="s">
        <v>38</v>
      </c>
      <c r="BI111" s="294" t="s">
        <v>17</v>
      </c>
      <c r="BJ111" s="294" t="s">
        <v>18</v>
      </c>
      <c r="BK111" s="295" t="s">
        <v>19</v>
      </c>
      <c r="BL111" s="296"/>
      <c r="BM111" s="262"/>
      <c r="BN111" s="486" t="s">
        <v>21</v>
      </c>
      <c r="BO111" s="487"/>
      <c r="BP111" s="488" t="s">
        <v>287</v>
      </c>
      <c r="BQ111" s="489"/>
      <c r="BR111" s="490"/>
      <c r="BS111" s="488" t="s">
        <v>288</v>
      </c>
      <c r="BT111" s="489"/>
      <c r="BU111" s="490"/>
      <c r="BV111" s="262"/>
      <c r="BW111" s="491" t="s">
        <v>289</v>
      </c>
      <c r="BX111" s="492"/>
      <c r="BY111" s="492"/>
      <c r="BZ111" s="493"/>
      <c r="CA111" s="262"/>
      <c r="CB111" s="297" t="s">
        <v>21</v>
      </c>
      <c r="CC111" s="262"/>
      <c r="CD111" s="262"/>
      <c r="CE111" s="262"/>
      <c r="CF111" s="262"/>
      <c r="CG111" s="262"/>
      <c r="CH111" s="262"/>
      <c r="CI111" s="264" t="s">
        <v>447</v>
      </c>
      <c r="CJ111" s="262"/>
      <c r="CK111" s="262"/>
      <c r="CL111" s="264" t="s">
        <v>448</v>
      </c>
      <c r="CM111" s="262"/>
      <c r="CN111" s="262"/>
      <c r="CO111" s="262"/>
      <c r="CP111" s="262"/>
    </row>
    <row r="112" spans="11:94" ht="24" hidden="1" thickBot="1" x14ac:dyDescent="0.3"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A112" s="259"/>
      <c r="AB112" s="259"/>
      <c r="AC112" s="259"/>
      <c r="AD112" s="259"/>
      <c r="AR112" s="262"/>
      <c r="AS112" s="494" t="s">
        <v>300</v>
      </c>
      <c r="AT112" s="495"/>
      <c r="AU112" s="496"/>
      <c r="AV112" s="141"/>
      <c r="AW112" s="262"/>
      <c r="AX112" s="497" t="s">
        <v>301</v>
      </c>
      <c r="AY112" s="498"/>
      <c r="AZ112" s="499">
        <f>SUM(HF_XP_Epic4,HF_XP_Epic5)</f>
        <v>5651552</v>
      </c>
      <c r="BA112" s="500"/>
      <c r="BB112" s="262"/>
      <c r="BC112" s="497" t="s">
        <v>301</v>
      </c>
      <c r="BD112" s="498"/>
      <c r="BE112" s="499">
        <f>SUM(HF_XP_Epic4,HF_XP_Epic5,HF_XP_Legend5,HF_XP_Legend6)</f>
        <v>8626027</v>
      </c>
      <c r="BF112" s="500"/>
      <c r="BG112" s="262"/>
      <c r="BH112" s="298" t="s">
        <v>268</v>
      </c>
      <c r="BI112" s="299">
        <f>SUMIF(BN113:BN116,BH112,BP113:BP116)+SUMIF(BN118:BN121,BH112,BP118:BP121)</f>
        <v>0</v>
      </c>
      <c r="BJ112" s="299">
        <f>SUMIF(BN113:BN116,BH112,BQ113:BQ116)+SUMIF(BN118:BN121,BH112,BQ118:BQ121)</f>
        <v>20</v>
      </c>
      <c r="BK112" s="300">
        <f>SUMIF(BN113:BN116,BH112,BR113:BR116)+SUMIF(BN118:BN121,BH112,BR118:BR121)</f>
        <v>6</v>
      </c>
      <c r="BL112" s="296"/>
      <c r="BM112" s="262"/>
      <c r="BN112" s="301" t="s">
        <v>295</v>
      </c>
      <c r="BO112" s="302" t="s">
        <v>37</v>
      </c>
      <c r="BP112" s="303" t="s">
        <v>17</v>
      </c>
      <c r="BQ112" s="304" t="s">
        <v>18</v>
      </c>
      <c r="BR112" s="305" t="s">
        <v>19</v>
      </c>
      <c r="BS112" s="306" t="s">
        <v>17</v>
      </c>
      <c r="BT112" s="304" t="s">
        <v>18</v>
      </c>
      <c r="BU112" s="305" t="s">
        <v>19</v>
      </c>
      <c r="BV112" s="262"/>
      <c r="BW112" s="501" t="s">
        <v>296</v>
      </c>
      <c r="BX112" s="502"/>
      <c r="BY112" s="502"/>
      <c r="BZ112" s="307">
        <f>(VALUE(LEFT(HF_Stage,FIND("-",HF_Stage)-1))-1)*7+VALUE(RIGHT(HF_Stage,1))</f>
        <v>80</v>
      </c>
      <c r="CA112" s="262"/>
      <c r="CB112" s="308" t="s">
        <v>295</v>
      </c>
      <c r="CC112" s="309" t="s">
        <v>271</v>
      </c>
      <c r="CD112" s="310" t="s">
        <v>272</v>
      </c>
      <c r="CE112" s="310" t="s">
        <v>282</v>
      </c>
      <c r="CF112" s="311" t="s">
        <v>273</v>
      </c>
      <c r="CG112" s="309" t="s">
        <v>297</v>
      </c>
      <c r="CH112" s="310" t="s">
        <v>298</v>
      </c>
      <c r="CI112" s="311" t="s">
        <v>299</v>
      </c>
      <c r="CJ112" s="309" t="s">
        <v>274</v>
      </c>
      <c r="CK112" s="310" t="s">
        <v>275</v>
      </c>
      <c r="CL112" s="311" t="s">
        <v>276</v>
      </c>
      <c r="CM112" s="262"/>
      <c r="CN112" s="262"/>
      <c r="CO112" s="262"/>
      <c r="CP112" s="262"/>
    </row>
    <row r="113" spans="11:94" ht="24" hidden="1" thickBot="1" x14ac:dyDescent="0.3">
      <c r="K113" s="259"/>
      <c r="L113" s="259"/>
      <c r="M113" s="259"/>
      <c r="N113" s="259"/>
      <c r="O113" s="259"/>
      <c r="P113" s="259"/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A113" s="259"/>
      <c r="AB113" s="259"/>
      <c r="AC113" s="259"/>
      <c r="AD113" s="259"/>
      <c r="AR113" s="262"/>
      <c r="AS113" s="503" t="s">
        <v>303</v>
      </c>
      <c r="AT113" s="503"/>
      <c r="AU113" s="504"/>
      <c r="AV113" s="141"/>
      <c r="AW113" s="262"/>
      <c r="AX113" s="312" t="s">
        <v>304</v>
      </c>
      <c r="AY113" s="313"/>
      <c r="AZ113" s="505" cm="1">
        <f t="array" ref="AZ113">ROUNDUP(AZ112/HF_XP_perRun,0)</f>
        <v>436</v>
      </c>
      <c r="BA113" s="506"/>
      <c r="BB113" s="262"/>
      <c r="BC113" s="312" t="s">
        <v>304</v>
      </c>
      <c r="BD113" s="314"/>
      <c r="BE113" s="505" cm="1">
        <f t="array" ref="BE113">ROUNDUP(BE112/HF_XP_perRun,0)</f>
        <v>665</v>
      </c>
      <c r="BF113" s="506"/>
      <c r="BG113" s="262"/>
      <c r="BH113" s="315" t="s">
        <v>265</v>
      </c>
      <c r="BI113" s="299">
        <f>SUMIF(BN113:BN116,BH113,BP113:BP116)+SUMIF(BN118:BN121,BH113,BP118:BP121)</f>
        <v>0</v>
      </c>
      <c r="BJ113" s="299">
        <f>SUMIF(BN113:BN116,BH113,BQ113:BQ116)+SUMIF(BN118:BN121,BH113,BQ118:BQ121)</f>
        <v>40</v>
      </c>
      <c r="BK113" s="300">
        <f>SUMIF(BN113:BN116,BH113,BR113:BR116)+SUMIF(BN118:BN121,BH113,BR118:BR121)</f>
        <v>12</v>
      </c>
      <c r="BL113" s="296"/>
      <c r="BM113" s="289">
        <v>1</v>
      </c>
      <c r="BN113" s="316" t="str">
        <f>BQ108</f>
        <v>Force</v>
      </c>
      <c r="BO113" s="317">
        <f>BN108</f>
        <v>0</v>
      </c>
      <c r="BP113" s="318">
        <f>IF(BO113=5,0,SUM(INDEX(Epic_Affinity_Lesser,BO113+1):INDEX(Epic_Affinity_Lesser,5)))</f>
        <v>0</v>
      </c>
      <c r="BQ113" s="319">
        <f>IF(BO113=5,0,SUM(INDEX(Epic_Affinity_Greater,BO113+1):INDEX(Epic_Affinity_Greater,5)))</f>
        <v>20</v>
      </c>
      <c r="BR113" s="320">
        <f>IF(BO113=5,0,SUM(INDEX(Epic_Affinity_Superior,BO113+1):INDEX(Epic_Affinity_Superior,5)))</f>
        <v>6</v>
      </c>
      <c r="BS113" s="318">
        <f>IF(BN113="",0,IF(BO113=5,0,SUM(INDEX(Epic_Arcane_Lesser,BO113+1):INDEX(Epic_Arcane_Lesser,5))))</f>
        <v>0</v>
      </c>
      <c r="BT113" s="319">
        <f>IF(BN113="",0,IF(BO113=5,0,SUM(INDEX(Epic_Arcane_Greater,BO113+1):INDEX(Epic_Arcane_Greater,5))))</f>
        <v>15</v>
      </c>
      <c r="BU113" s="320">
        <f>IF(BN113="",0,IF(BO113=5,0,SUM(INDEX(Epic_Arcane_Superior,BO113+1):INDEX(Epic_Arcane_Superior,5))))</f>
        <v>3</v>
      </c>
      <c r="BV113" s="262"/>
      <c r="BW113" s="507" t="s">
        <v>449</v>
      </c>
      <c r="BX113" s="508"/>
      <c r="BY113" s="508"/>
      <c r="BZ113" s="321">
        <f>IF(VALUE(RIGHT(HF_Stage,1))=7,_xlfn.XLOOKUP(HF_Map,V_Energy_Map,V_Energy_Boss,FALSE),_xlfn.XLOOKUP(HF_Map,V_Energy_Map,V_Energy_Regular,FALSE))</f>
        <v>8</v>
      </c>
      <c r="CA113" s="289">
        <v>1</v>
      </c>
      <c r="CB113" s="322" t="str">
        <f>BQ108</f>
        <v>Force</v>
      </c>
      <c r="CC113" s="285">
        <f>BN107</f>
        <v>0</v>
      </c>
      <c r="CD113" s="286">
        <f>BO107</f>
        <v>0</v>
      </c>
      <c r="CE113" s="286">
        <f>BP107</f>
        <v>40</v>
      </c>
      <c r="CF113" s="287">
        <f>BQ107</f>
        <v>50</v>
      </c>
      <c r="CG113" s="285">
        <f>IF(CE113=40,1,IF(CE113=0,0,40-CE113))</f>
        <v>1</v>
      </c>
      <c r="CH113" s="286">
        <f>IF(CG113=0,0,40)</f>
        <v>40</v>
      </c>
      <c r="CI113" s="321">
        <f>IF(CE113=0,0,SUM(INDEX(V_XP_4Star,CG113):INDEX(V_XP_4Star,CH113-1)))</f>
        <v>449082</v>
      </c>
      <c r="CJ113" s="285">
        <f>IF(CF113=50,1,IF(CF113=0,0,50-CF113))</f>
        <v>1</v>
      </c>
      <c r="CK113" s="286">
        <f>IF(CJ113=0,0,50)</f>
        <v>50</v>
      </c>
      <c r="CL113" s="321">
        <f>IF(CF113=0,0,SUM(INDEX(V_XP_5Star,CJ113):INDEX(V_XP_5Star,CK113-1)))</f>
        <v>963806</v>
      </c>
      <c r="CM113" s="262"/>
      <c r="CN113" s="262"/>
      <c r="CO113" s="262"/>
      <c r="CP113" s="262"/>
    </row>
    <row r="114" spans="11:94" ht="24" hidden="1" thickBot="1" x14ac:dyDescent="0.3">
      <c r="K114" s="259"/>
      <c r="L114" s="259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259"/>
      <c r="AC114" s="259"/>
      <c r="AD114" s="259"/>
      <c r="AR114" s="262"/>
      <c r="AS114" s="290" t="s">
        <v>306</v>
      </c>
      <c r="AT114" s="323"/>
      <c r="AU114" s="323"/>
      <c r="AV114" s="163">
        <v>4</v>
      </c>
      <c r="AW114" s="262"/>
      <c r="AX114" s="324" t="s">
        <v>307</v>
      </c>
      <c r="AY114" s="325"/>
      <c r="AZ114" s="509" cm="1">
        <f t="array" ref="AZ114">AZ113*HF_Energy_perRun</f>
        <v>3488</v>
      </c>
      <c r="BA114" s="510"/>
      <c r="BB114" s="262"/>
      <c r="BC114" s="324" t="s">
        <v>307</v>
      </c>
      <c r="BD114" s="326"/>
      <c r="BE114" s="509" cm="1">
        <f t="array" ref="BE114">BE113*HF_Energy_perRun</f>
        <v>5320</v>
      </c>
      <c r="BF114" s="510"/>
      <c r="BG114" s="262"/>
      <c r="BH114" s="315" t="s">
        <v>267</v>
      </c>
      <c r="BI114" s="299">
        <f>SUMIF(BN113:BN116,BH114,BP113:BP116)+SUMIF(BN118:BN121,BH114,BP118:BP121)</f>
        <v>0</v>
      </c>
      <c r="BJ114" s="299">
        <f>SUMIF(BN113:BN116,BH114,BQ113:BQ116)+SUMIF(BN118:BN121,BH114,BQ118:BQ121)</f>
        <v>0</v>
      </c>
      <c r="BK114" s="300">
        <f>SUMIF(BN113:BN116,BH114,BR113:BR116)+SUMIF(BN118:BN121,BH114,BR118:BR121)</f>
        <v>0</v>
      </c>
      <c r="BL114" s="269"/>
      <c r="BM114" s="289">
        <v>2</v>
      </c>
      <c r="BN114" s="327" t="str">
        <f>BU108</f>
        <v>Spirit</v>
      </c>
      <c r="BO114" s="328">
        <f>BR108</f>
        <v>0</v>
      </c>
      <c r="BP114" s="329">
        <f>IF(BO114=5,0,SUM(INDEX(Epic_Affinity_Lesser,BO114+1):INDEX(Epic_Affinity_Lesser,5)))</f>
        <v>0</v>
      </c>
      <c r="BQ114" s="330">
        <f>IF(BO114=5,0,SUM(INDEX(Epic_Affinity_Greater,BO114+1):INDEX(Epic_Affinity_Greater,5)))</f>
        <v>20</v>
      </c>
      <c r="BR114" s="331">
        <f>IF(BO114=5,0,SUM(INDEX(Epic_Affinity_Superior,BO114+1):INDEX(Epic_Affinity_Superior,5)))</f>
        <v>6</v>
      </c>
      <c r="BS114" s="329">
        <f>IF(BN114="",0,IF(BO114=5,0,SUM(INDEX(Epic_Arcane_Lesser,BO114+1):INDEX(Epic_Arcane_Lesser,5))))</f>
        <v>0</v>
      </c>
      <c r="BT114" s="330">
        <f>IF(BN114="",0,IF(BO114=5,0,SUM(INDEX(Epic_Arcane_Greater,BO114+1):INDEX(Epic_Arcane_Greater,5))))</f>
        <v>15</v>
      </c>
      <c r="BU114" s="331">
        <f>IF(BN114="",0,IF(BO114=5,0,SUM(INDEX(Epic_Arcane_Superior,BO114+1):INDEX(Epic_Arcane_Superior,5))))</f>
        <v>3</v>
      </c>
      <c r="BV114" s="262"/>
      <c r="BW114" s="511" t="s">
        <v>305</v>
      </c>
      <c r="BX114" s="512"/>
      <c r="BY114" s="512"/>
      <c r="BZ114" s="332" cm="1">
        <f t="array" ref="BZ114">IF(HF_Map="Nightmare",INDEX(V_XP_Nightmare,BZ112),IF(HF_Map="Brutal",INDEX(V_XP_Brutal,BZ112),IF(HF_Map="Hard",INDEX(V_XP_Hard,BZ112),IF(HF_Map="Normal",INDEX(V_XP_Normal,BZ112),""))))</f>
        <v>17304</v>
      </c>
      <c r="CA114" s="289">
        <v>2</v>
      </c>
      <c r="CB114" s="322" t="str">
        <f>BU108</f>
        <v>Spirit</v>
      </c>
      <c r="CC114" s="285">
        <f>BR107</f>
        <v>0</v>
      </c>
      <c r="CD114" s="286">
        <f>BS107</f>
        <v>0</v>
      </c>
      <c r="CE114" s="286">
        <f>BT107</f>
        <v>40</v>
      </c>
      <c r="CF114" s="287">
        <f>BU107</f>
        <v>50</v>
      </c>
      <c r="CG114" s="285">
        <f>IF(CE114=40,1,IF(CE114=0,0,40-CE114))</f>
        <v>1</v>
      </c>
      <c r="CH114" s="286">
        <f>IF(CG114=0,0,40)</f>
        <v>40</v>
      </c>
      <c r="CI114" s="321">
        <f>IF(CE114=0,0,SUM(INDEX(V_XP_4Star,CG114):INDEX(V_XP_4Star,CH114-1)))</f>
        <v>449082</v>
      </c>
      <c r="CJ114" s="285">
        <f>IF(CF114=50,1,IF(CF114=0,0,50-CF114))</f>
        <v>1</v>
      </c>
      <c r="CK114" s="286">
        <f>IF(CJ114=0,0,50)</f>
        <v>50</v>
      </c>
      <c r="CL114" s="321">
        <f>IF(CF114=0,0,SUM(INDEX(V_XP_5Star,CJ114):INDEX(V_XP_5Star,CK114-1)))</f>
        <v>963806</v>
      </c>
      <c r="CM114" s="262"/>
      <c r="CN114" s="262"/>
      <c r="CO114" s="262"/>
      <c r="CP114" s="262"/>
    </row>
    <row r="115" spans="11:94" ht="24" hidden="1" thickBot="1" x14ac:dyDescent="0.3"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/>
      <c r="X115" s="259"/>
      <c r="Y115" s="259"/>
      <c r="Z115" s="259"/>
      <c r="AA115" s="259"/>
      <c r="AB115" s="259"/>
      <c r="AC115" s="259"/>
      <c r="AD115" s="259"/>
      <c r="AR115" s="262"/>
      <c r="AS115" s="290" t="s">
        <v>310</v>
      </c>
      <c r="AT115" s="323"/>
      <c r="AU115" s="323"/>
      <c r="AV115" s="141">
        <v>3</v>
      </c>
      <c r="AW115" s="262"/>
      <c r="AX115" s="513" t="s">
        <v>311</v>
      </c>
      <c r="AY115" s="514"/>
      <c r="AZ115" s="514"/>
      <c r="BA115" s="515"/>
      <c r="BB115" s="262"/>
      <c r="BC115" s="513" t="s">
        <v>311</v>
      </c>
      <c r="BD115" s="514"/>
      <c r="BE115" s="514"/>
      <c r="BF115" s="515"/>
      <c r="BG115" s="262"/>
      <c r="BH115" s="333" t="s">
        <v>266</v>
      </c>
      <c r="BI115" s="299">
        <f>SUMIF(BN113:BN116,BH115,BP113:BP116)+SUMIF(BN118:BN121,BH115,BP118:BP121)</f>
        <v>0</v>
      </c>
      <c r="BJ115" s="299">
        <f>SUMIF(BN113:BN116,BH115,BQ113:BQ116)+SUMIF(BN118:BN121,BH115,BQ118:BQ121)</f>
        <v>20</v>
      </c>
      <c r="BK115" s="300">
        <f>SUMIF(BN113:BN116,BH115,BR113:BR116)+SUMIF(BN118:BN121,BH115,BR118:BR121)</f>
        <v>6</v>
      </c>
      <c r="BL115" s="269"/>
      <c r="BM115" s="289">
        <v>3</v>
      </c>
      <c r="BN115" s="327" t="str">
        <f>BY108</f>
        <v>Void</v>
      </c>
      <c r="BO115" s="328">
        <f>BV108</f>
        <v>0</v>
      </c>
      <c r="BP115" s="329">
        <f>IF(BO115=5,0,SUM(INDEX(Epic_Affinity_Lesser,BO115+1):INDEX(Epic_Affinity_Lesser,5)))</f>
        <v>0</v>
      </c>
      <c r="BQ115" s="330">
        <f>IF(BO115=5,0,SUM(INDEX(Epic_Affinity_Greater,BO115+1):INDEX(Epic_Affinity_Greater,5)))</f>
        <v>20</v>
      </c>
      <c r="BR115" s="331">
        <f>IF(BO115=5,0,SUM(INDEX(Epic_Affinity_Superior,BO115+1):INDEX(Epic_Affinity_Superior,5)))</f>
        <v>6</v>
      </c>
      <c r="BS115" s="329">
        <f>IF(BN115="",0,IF(BO115=5,0,SUM(INDEX(Epic_Arcane_Lesser,BO115+1):INDEX(Epic_Arcane_Lesser,5))))</f>
        <v>0</v>
      </c>
      <c r="BT115" s="330">
        <f>IF(BN115="",0,IF(BO115=5,0,SUM(INDEX(Epic_Arcane_Greater,BO115+1):INDEX(Epic_Arcane_Greater,5))))</f>
        <v>15</v>
      </c>
      <c r="BU115" s="331">
        <f>IF(BN115="",0,IF(BO115=5,0,SUM(INDEX(Epic_Arcane_Superior,BO115+1):INDEX(Epic_Arcane_Superior,5))))</f>
        <v>3</v>
      </c>
      <c r="BV115" s="262"/>
      <c r="BW115" s="438" t="s">
        <v>308</v>
      </c>
      <c r="BX115" s="439"/>
      <c r="BY115" s="334" t="s">
        <v>309</v>
      </c>
      <c r="BZ115" s="168">
        <f>IF(HF_XPBoost="On",2,1)</f>
        <v>1</v>
      </c>
      <c r="CA115" s="289">
        <v>3</v>
      </c>
      <c r="CB115" s="322" t="str">
        <f>BY108</f>
        <v>Void</v>
      </c>
      <c r="CC115" s="285">
        <f>BV107</f>
        <v>0</v>
      </c>
      <c r="CD115" s="286">
        <f>BW107</f>
        <v>0</v>
      </c>
      <c r="CE115" s="286">
        <f>BX107</f>
        <v>40</v>
      </c>
      <c r="CF115" s="287">
        <f>BY107</f>
        <v>50</v>
      </c>
      <c r="CG115" s="285">
        <f>IF(CE115=40,1,IF(CE115=0,0,40-CE115))</f>
        <v>1</v>
      </c>
      <c r="CH115" s="286">
        <f>IF(CG115=0,0,40)</f>
        <v>40</v>
      </c>
      <c r="CI115" s="321">
        <f>IF(CE115=0,0,SUM(INDEX(V_XP_4Star,CG115):INDEX(V_XP_4Star,CH115-1)))</f>
        <v>449082</v>
      </c>
      <c r="CJ115" s="285">
        <f>IF(CF115=50,1,IF(CF115=0,0,50-CF115))</f>
        <v>1</v>
      </c>
      <c r="CK115" s="286">
        <f>IF(CJ115=0,0,50)</f>
        <v>50</v>
      </c>
      <c r="CL115" s="321">
        <f>IF(CF115=0,0,SUM(INDEX(V_XP_5Star,CJ115):INDEX(V_XP_5Star,CK115-1)))</f>
        <v>963806</v>
      </c>
      <c r="CM115" s="262"/>
      <c r="CN115" s="262"/>
      <c r="CO115" s="262"/>
      <c r="CP115" s="262"/>
    </row>
    <row r="116" spans="11:94" ht="24" hidden="1" thickBot="1" x14ac:dyDescent="0.3">
      <c r="K116" s="259"/>
      <c r="L116" s="259"/>
      <c r="M116" s="259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R116" s="262"/>
      <c r="AS116" s="503" t="s">
        <v>313</v>
      </c>
      <c r="AT116" s="503"/>
      <c r="AU116" s="504"/>
      <c r="AV116" s="163" t="s">
        <v>314</v>
      </c>
      <c r="AW116" s="262"/>
      <c r="AX116" s="497" t="s">
        <v>446</v>
      </c>
      <c r="AY116" s="498"/>
      <c r="AZ116" s="498"/>
      <c r="BA116" s="335">
        <f>ROUNDUP(AZ112/18750,0)</f>
        <v>302</v>
      </c>
      <c r="BB116" s="262"/>
      <c r="BC116" s="497" t="s">
        <v>446</v>
      </c>
      <c r="BD116" s="498"/>
      <c r="BE116" s="498"/>
      <c r="BF116" s="335">
        <f>ROUNDUP(BE112/18750,0)</f>
        <v>461</v>
      </c>
      <c r="BG116" s="262"/>
      <c r="BH116" s="336" t="s">
        <v>39</v>
      </c>
      <c r="BI116" s="337">
        <f>SUM(BS113:BS116)</f>
        <v>0</v>
      </c>
      <c r="BJ116" s="337">
        <f>SUM(BT113:BT116)</f>
        <v>60</v>
      </c>
      <c r="BK116" s="338">
        <f>SUM(BU113:BU116)</f>
        <v>12</v>
      </c>
      <c r="BL116" s="269"/>
      <c r="BM116" s="289">
        <v>4</v>
      </c>
      <c r="BN116" s="339" t="str">
        <f>CC108</f>
        <v>Force</v>
      </c>
      <c r="BO116" s="340">
        <f>BZ108</f>
        <v>0</v>
      </c>
      <c r="BP116" s="341">
        <f>IF(BO116=5,0,SUM(INDEX(Epic_Affinity_Lesser,BO116+1):INDEX(Epic_Affinity_Lesser,5)))</f>
        <v>0</v>
      </c>
      <c r="BQ116" s="342">
        <f>IF(BO116=5,0,SUM(INDEX(Epic_Affinity_Greater,BO116+1):INDEX(Epic_Affinity_Greater,5)))</f>
        <v>20</v>
      </c>
      <c r="BR116" s="343">
        <f>IF(BO116=5,0,SUM(INDEX(Epic_Affinity_Superior,BO116+1):INDEX(Epic_Affinity_Superior,5)))</f>
        <v>6</v>
      </c>
      <c r="BS116" s="341">
        <f>IF(BN116="",0,IF(BO116=5,0,SUM(INDEX(Epic_Arcane_Lesser,BO116+1):INDEX(Epic_Arcane_Lesser,5))))</f>
        <v>0</v>
      </c>
      <c r="BT116" s="342">
        <f>IF(BN116="",0,IF(BO116=5,0,SUM(INDEX(Epic_Arcane_Greater,BO116+1):INDEX(Epic_Arcane_Greater,5))))</f>
        <v>15</v>
      </c>
      <c r="BU116" s="343">
        <f>IF(BN116="",0,IF(BO116=5,0,SUM(INDEX(Epic_Arcane_Superior,BO116+1):INDEX(Epic_Arcane_Superior,5))))</f>
        <v>3</v>
      </c>
      <c r="BV116" s="262"/>
      <c r="BW116" s="516"/>
      <c r="BX116" s="517"/>
      <c r="BY116" s="344" t="s">
        <v>312</v>
      </c>
      <c r="BZ116" s="176">
        <f>IF(HF_RaidPass="On",1.2,1)</f>
        <v>1</v>
      </c>
      <c r="CA116" s="289">
        <v>4</v>
      </c>
      <c r="CB116" s="345" t="str">
        <f>CC108</f>
        <v>Force</v>
      </c>
      <c r="CC116" s="276">
        <f>BZ107</f>
        <v>0</v>
      </c>
      <c r="CD116" s="277">
        <f>CA107</f>
        <v>0</v>
      </c>
      <c r="CE116" s="277">
        <f>CB107</f>
        <v>40</v>
      </c>
      <c r="CF116" s="278">
        <f>CC107</f>
        <v>50</v>
      </c>
      <c r="CG116" s="276">
        <f>IF(CE116=40,1,IF(CE116=0,0,40-CE116))</f>
        <v>1</v>
      </c>
      <c r="CH116" s="277">
        <f>IF(CG116=0,0,40)</f>
        <v>40</v>
      </c>
      <c r="CI116" s="346">
        <f>IF(CE116=0,0,SUM(INDEX(V_XP_4Star,CG116):INDEX(V_XP_4Star,CH116-1)))</f>
        <v>449082</v>
      </c>
      <c r="CJ116" s="276">
        <f>IF(CF116=50,1,IF(CF116=0,0,50-CF116))</f>
        <v>1</v>
      </c>
      <c r="CK116" s="277">
        <f>IF(CJ116=0,0,50)</f>
        <v>50</v>
      </c>
      <c r="CL116" s="346">
        <f>IF(CF116=0,0,SUM(INDEX(V_XP_5Star,CJ116):INDEX(V_XP_5Star,CK116-1)))</f>
        <v>963806</v>
      </c>
      <c r="CM116" s="262"/>
      <c r="CN116" s="262"/>
      <c r="CO116" s="262"/>
      <c r="CP116" s="262"/>
    </row>
    <row r="117" spans="11:94" ht="21.75" hidden="1" thickBot="1" x14ac:dyDescent="0.3"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R117" s="262"/>
      <c r="AS117" s="503" t="s">
        <v>317</v>
      </c>
      <c r="AT117" s="503"/>
      <c r="AU117" s="504"/>
      <c r="AV117" s="163" t="s">
        <v>314</v>
      </c>
      <c r="AW117" s="262"/>
      <c r="AX117" s="520" t="s">
        <v>318</v>
      </c>
      <c r="AY117" s="521"/>
      <c r="AZ117" s="521"/>
      <c r="BA117" s="347">
        <f>ROUNDUP(AZ114/HF_FullEnergy,0)*40</f>
        <v>1080</v>
      </c>
      <c r="BB117" s="262"/>
      <c r="BC117" s="520" t="s">
        <v>318</v>
      </c>
      <c r="BD117" s="521"/>
      <c r="BE117" s="521"/>
      <c r="BF117" s="347">
        <f>ROUNDUP(BE114/HF_FullEnergy,0)*40</f>
        <v>1640</v>
      </c>
      <c r="BG117" s="262"/>
      <c r="BH117" s="262"/>
      <c r="BI117" s="262"/>
      <c r="BJ117" s="262"/>
      <c r="BK117" s="262"/>
      <c r="BL117" s="269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518"/>
      <c r="BX117" s="519"/>
      <c r="BY117" s="348" t="s">
        <v>316</v>
      </c>
      <c r="BZ117" s="184">
        <f>IF(HF_Lvl100BattlePass="On",0.5,0)</f>
        <v>0</v>
      </c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</row>
    <row r="118" spans="11:94" ht="21.75" hidden="1" thickBot="1" x14ac:dyDescent="0.3">
      <c r="K118" s="259"/>
      <c r="L118" s="259"/>
      <c r="M118" s="259"/>
      <c r="N118" s="259"/>
      <c r="O118" s="259"/>
      <c r="P118" s="259"/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  <c r="AA118" s="259"/>
      <c r="AB118" s="259"/>
      <c r="AC118" s="259"/>
      <c r="AD118" s="259"/>
      <c r="AR118" s="262"/>
      <c r="AS118" s="503" t="s">
        <v>322</v>
      </c>
      <c r="AT118" s="503"/>
      <c r="AU118" s="504"/>
      <c r="AV118" s="163" t="s">
        <v>314</v>
      </c>
      <c r="AW118" s="262"/>
      <c r="AX118" s="513" t="s">
        <v>323</v>
      </c>
      <c r="AY118" s="514"/>
      <c r="AZ118" s="514"/>
      <c r="BA118" s="515"/>
      <c r="BB118" s="262"/>
      <c r="BC118" s="513" t="s">
        <v>323</v>
      </c>
      <c r="BD118" s="514"/>
      <c r="BE118" s="514"/>
      <c r="BF118" s="515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525" t="s">
        <v>319</v>
      </c>
      <c r="BX118" s="526"/>
      <c r="BY118" s="527"/>
      <c r="BZ118" s="349">
        <f>BZ115*BZ116+BZ117</f>
        <v>1</v>
      </c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</row>
    <row r="119" spans="11:94" ht="21.75" hidden="1" thickBot="1" x14ac:dyDescent="0.4">
      <c r="K119" s="259"/>
      <c r="L119" s="259"/>
      <c r="M119" s="259"/>
      <c r="N119" s="259"/>
      <c r="O119" s="259"/>
      <c r="P119" s="259"/>
      <c r="Q119" s="259"/>
      <c r="R119" s="259"/>
      <c r="S119" s="259"/>
      <c r="T119" s="259"/>
      <c r="U119" s="259"/>
      <c r="V119" s="259"/>
      <c r="W119" s="259"/>
      <c r="X119" s="259"/>
      <c r="Y119" s="259"/>
      <c r="Z119" s="259"/>
      <c r="AA119" s="259"/>
      <c r="AB119" s="259"/>
      <c r="AC119" s="259"/>
      <c r="AD119" s="259"/>
      <c r="AR119" s="262"/>
      <c r="AS119" s="503" t="s">
        <v>328</v>
      </c>
      <c r="AT119" s="503"/>
      <c r="AU119" s="504"/>
      <c r="AV119" s="141">
        <v>130</v>
      </c>
      <c r="AW119" s="262"/>
      <c r="AX119" s="528" t="str">
        <f>IF($AV$112=0,"Not calculated",INT((SUM(AZ113*$AV$112,AZ113*$AV$113)/60)/60)&amp;" hrs "&amp;ROUNDUP(SUM(AZ113*$AV$112,AZ113*$AV$113)/60-(INT((SUM(AZ113*$AV$112,AZ113*$AV$113)/60)/60)*60),0)&amp;"mins")</f>
        <v>Not calculated</v>
      </c>
      <c r="AY119" s="529"/>
      <c r="AZ119" s="529"/>
      <c r="BA119" s="530"/>
      <c r="BB119" s="262"/>
      <c r="BC119" s="528" t="str">
        <f>IF($AV$112=0,"Not calculated",INT((SUM(BE113*$AV$112,BE113*$AV$113)/60)/60)&amp;" hrs "&amp;ROUNDUP(SUM(BE113*$AV$112,BE113*$AV$113)/60-(INT((SUM(BE113*$AV$112,BE113*$AV$113)/60)/60)*60),0)&amp;"mins")</f>
        <v>Not calculated</v>
      </c>
      <c r="BD119" s="529"/>
      <c r="BE119" s="529"/>
      <c r="BF119" s="530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531" t="s">
        <v>324</v>
      </c>
      <c r="BX119" s="532"/>
      <c r="BY119" s="533"/>
      <c r="BZ119" s="321">
        <f>BZ114*BZ118</f>
        <v>17304</v>
      </c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</row>
    <row r="120" spans="11:94" ht="15" hidden="1" x14ac:dyDescent="0.25"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259"/>
      <c r="AC120" s="259"/>
      <c r="AD120" s="259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534" t="s">
        <v>450</v>
      </c>
      <c r="BX120" s="535"/>
      <c r="BY120" s="536"/>
      <c r="BZ120" s="321">
        <f>BZ119/HF_Runners</f>
        <v>4326</v>
      </c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</row>
    <row r="121" spans="11:94" ht="15.75" hidden="1" customHeight="1" thickBot="1" x14ac:dyDescent="0.3"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  <c r="AA121" s="259"/>
      <c r="AB121" s="259"/>
      <c r="AC121" s="259"/>
      <c r="AD121" s="259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522" t="s">
        <v>451</v>
      </c>
      <c r="BX121" s="523"/>
      <c r="BY121" s="523"/>
      <c r="BZ121" s="346">
        <f>BZ120*HF_Food</f>
        <v>12978</v>
      </c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</row>
    <row r="122" spans="11:94" ht="15" hidden="1" x14ac:dyDescent="0.25"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  <c r="AA122" s="259"/>
      <c r="AB122" s="259"/>
      <c r="AC122" s="259"/>
      <c r="AD122" s="259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</row>
    <row r="123" spans="11:94" ht="15" customHeight="1" x14ac:dyDescent="0.25">
      <c r="K123" s="259"/>
      <c r="L123" s="259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259"/>
      <c r="AC123" s="259"/>
      <c r="AD123" s="259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524" t="s">
        <v>331</v>
      </c>
      <c r="BX123" s="524"/>
      <c r="BY123" s="524"/>
      <c r="BZ123" s="524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</row>
    <row r="124" spans="11:94" ht="15" x14ac:dyDescent="0.25">
      <c r="K124" s="259"/>
      <c r="L124" s="259"/>
      <c r="M124" s="259"/>
      <c r="N124" s="259"/>
      <c r="O124" s="259"/>
      <c r="P124" s="259"/>
      <c r="Q124" s="259"/>
      <c r="R124" s="259"/>
      <c r="S124" s="259"/>
      <c r="T124" s="259"/>
      <c r="U124" s="259"/>
      <c r="V124" s="259"/>
      <c r="W124" s="259"/>
      <c r="X124" s="259"/>
      <c r="Y124" s="259"/>
      <c r="Z124" s="259"/>
      <c r="AA124" s="259"/>
      <c r="AB124" s="259"/>
      <c r="AC124" s="259"/>
      <c r="AD124" s="259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524"/>
      <c r="BX124" s="524"/>
      <c r="BY124" s="524"/>
      <c r="BZ124" s="524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</row>
    <row r="125" spans="11:94" ht="15" x14ac:dyDescent="0.25"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  <c r="X125" s="259"/>
      <c r="Y125" s="259"/>
      <c r="Z125" s="259"/>
      <c r="AA125" s="259"/>
      <c r="AB125" s="259"/>
      <c r="AC125" s="259"/>
      <c r="AD125" s="259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524"/>
      <c r="BX125" s="524"/>
      <c r="BY125" s="524"/>
      <c r="BZ125" s="524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</row>
    <row r="126" spans="11:94" ht="15" x14ac:dyDescent="0.25"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259"/>
      <c r="AC126" s="259"/>
      <c r="AD126" s="259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524"/>
      <c r="BX126" s="524"/>
      <c r="BY126" s="524"/>
      <c r="BZ126" s="524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</row>
    <row r="127" spans="11:94" ht="15" x14ac:dyDescent="0.25"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  <c r="X127" s="259"/>
      <c r="Y127" s="259"/>
      <c r="Z127" s="259"/>
      <c r="AA127" s="259"/>
      <c r="AB127" s="259"/>
      <c r="AC127" s="259"/>
      <c r="AD127" s="259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524"/>
      <c r="BX127" s="524"/>
      <c r="BY127" s="524"/>
      <c r="BZ127" s="524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</row>
    <row r="128" spans="11:94" ht="15.75" x14ac:dyDescent="0.25"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R128" s="262"/>
      <c r="AS128" s="350"/>
      <c r="AT128" s="350"/>
      <c r="AU128" s="350"/>
      <c r="AV128" s="350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524"/>
      <c r="BX128" s="524"/>
      <c r="BY128" s="524"/>
      <c r="BZ128" s="524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</row>
    <row r="129" spans="11:94" ht="15.75" x14ac:dyDescent="0.25">
      <c r="K129" s="259"/>
      <c r="L129" s="259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R129" s="262"/>
      <c r="AS129" s="350"/>
      <c r="AT129" s="350"/>
      <c r="AU129" s="350"/>
      <c r="AV129" s="350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524"/>
      <c r="BX129" s="524"/>
      <c r="BY129" s="524"/>
      <c r="BZ129" s="524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</row>
    <row r="130" spans="11:94" ht="15" x14ac:dyDescent="0.25"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524"/>
      <c r="BX130" s="524"/>
      <c r="BY130" s="524"/>
      <c r="BZ130" s="524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</row>
    <row r="131" spans="11:94" ht="15" x14ac:dyDescent="0.25">
      <c r="K131" s="259"/>
      <c r="L131" s="259"/>
      <c r="M131" s="259"/>
      <c r="N131" s="259"/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524"/>
      <c r="BX131" s="524"/>
      <c r="BY131" s="524"/>
      <c r="BZ131" s="524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</row>
    <row r="132" spans="11:94" ht="15" x14ac:dyDescent="0.25">
      <c r="K132" s="259"/>
      <c r="L132" s="259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524"/>
      <c r="BX132" s="524"/>
      <c r="BY132" s="524"/>
      <c r="BZ132" s="524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</row>
    <row r="133" spans="11:94" ht="15" x14ac:dyDescent="0.25">
      <c r="K133" s="259"/>
      <c r="L133" s="259"/>
      <c r="M133" s="259"/>
      <c r="N133" s="259"/>
      <c r="O133" s="259"/>
      <c r="P133" s="259"/>
      <c r="Q133" s="259"/>
      <c r="R133" s="259"/>
      <c r="S133" s="259"/>
      <c r="T133" s="259"/>
      <c r="U133" s="259"/>
      <c r="V133" s="259"/>
      <c r="W133" s="259"/>
      <c r="X133" s="259"/>
      <c r="Y133" s="259"/>
      <c r="Z133" s="259"/>
      <c r="AA133" s="259"/>
      <c r="AB133" s="259"/>
      <c r="AC133" s="259"/>
      <c r="AD133" s="259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</row>
    <row r="134" spans="11:94" ht="15" x14ac:dyDescent="0.25"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</row>
    <row r="135" spans="11:94" ht="15" x14ac:dyDescent="0.25"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259"/>
      <c r="AC135" s="259"/>
      <c r="AD135" s="259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</row>
    <row r="136" spans="11:94" ht="15" x14ac:dyDescent="0.25"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  <c r="X136" s="259"/>
      <c r="Y136" s="259"/>
      <c r="Z136" s="259"/>
      <c r="AA136" s="259"/>
      <c r="AB136" s="259"/>
      <c r="AC136" s="259"/>
      <c r="AD136" s="259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</row>
    <row r="137" spans="11:94" ht="15" x14ac:dyDescent="0.25"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</row>
    <row r="138" spans="11:94" ht="15" x14ac:dyDescent="0.25">
      <c r="K138" s="259"/>
      <c r="L138" s="259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</row>
    <row r="139" spans="11:94" ht="15" x14ac:dyDescent="0.25">
      <c r="K139" s="259"/>
      <c r="L139" s="259"/>
      <c r="M139" s="259"/>
      <c r="N139" s="259"/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</row>
    <row r="140" spans="11:94" ht="15" x14ac:dyDescent="0.25">
      <c r="K140" s="259"/>
      <c r="L140" s="259"/>
      <c r="M140" s="259"/>
      <c r="N140" s="259"/>
      <c r="O140" s="259"/>
      <c r="P140" s="259"/>
      <c r="Q140" s="259"/>
      <c r="R140" s="259"/>
      <c r="S140" s="259"/>
      <c r="T140" s="259"/>
      <c r="U140" s="259"/>
      <c r="V140" s="259"/>
      <c r="W140" s="259"/>
      <c r="X140" s="259"/>
      <c r="Y140" s="259"/>
      <c r="Z140" s="259"/>
      <c r="AA140" s="259"/>
      <c r="AB140" s="259"/>
      <c r="AC140" s="259"/>
      <c r="AD140" s="259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</row>
    <row r="141" spans="11:94" ht="15" x14ac:dyDescent="0.25">
      <c r="K141" s="259"/>
      <c r="L141" s="259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259"/>
      <c r="AC141" s="259"/>
      <c r="AD141" s="259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</row>
    <row r="142" spans="11:94" ht="15" x14ac:dyDescent="0.25">
      <c r="K142" s="259"/>
      <c r="L142" s="259"/>
      <c r="M142" s="259"/>
      <c r="N142" s="259"/>
      <c r="O142" s="259"/>
      <c r="P142" s="259"/>
      <c r="Q142" s="259"/>
      <c r="R142" s="259"/>
      <c r="S142" s="259"/>
      <c r="T142" s="259"/>
      <c r="U142" s="259"/>
      <c r="V142" s="259"/>
      <c r="W142" s="259"/>
      <c r="X142" s="259"/>
      <c r="Y142" s="259"/>
      <c r="Z142" s="259"/>
      <c r="AA142" s="259"/>
      <c r="AB142" s="259"/>
      <c r="AC142" s="259"/>
      <c r="AD142" s="259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</row>
    <row r="143" spans="11:94" ht="15" x14ac:dyDescent="0.25">
      <c r="K143" s="259"/>
      <c r="L143" s="259"/>
      <c r="M143" s="259"/>
      <c r="N143" s="259"/>
      <c r="O143" s="259"/>
      <c r="P143" s="259"/>
      <c r="Q143" s="259"/>
      <c r="R143" s="259"/>
      <c r="S143" s="259"/>
      <c r="T143" s="259"/>
      <c r="U143" s="259"/>
      <c r="V143" s="259"/>
      <c r="W143" s="259"/>
      <c r="X143" s="259"/>
      <c r="Y143" s="259"/>
      <c r="Z143" s="259"/>
      <c r="AA143" s="259"/>
      <c r="AB143" s="259"/>
      <c r="AC143" s="259"/>
      <c r="AD143" s="259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</row>
    <row r="144" spans="11:94" x14ac:dyDescent="0.2">
      <c r="K144" s="259"/>
      <c r="L144" s="259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259"/>
      <c r="AD144" s="259"/>
    </row>
    <row r="145" spans="11:30" x14ac:dyDescent="0.2">
      <c r="K145" s="259"/>
      <c r="L145" s="259"/>
      <c r="M145" s="259"/>
      <c r="N145" s="259"/>
      <c r="O145" s="259"/>
      <c r="P145" s="259"/>
      <c r="Q145" s="259"/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259"/>
      <c r="AD145" s="259"/>
    </row>
    <row r="146" spans="11:30" x14ac:dyDescent="0.2">
      <c r="K146" s="259"/>
      <c r="L146" s="259"/>
      <c r="M146" s="259"/>
      <c r="N146" s="259"/>
      <c r="O146" s="259"/>
      <c r="P146" s="259"/>
      <c r="Q146" s="259"/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259"/>
      <c r="AD146" s="259"/>
    </row>
    <row r="147" spans="11:30" x14ac:dyDescent="0.2">
      <c r="K147" s="259"/>
      <c r="L147" s="259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259"/>
      <c r="AD147" s="259"/>
    </row>
    <row r="148" spans="11:30" x14ac:dyDescent="0.2">
      <c r="K148" s="259"/>
      <c r="L148" s="259"/>
      <c r="M148" s="259"/>
      <c r="N148" s="259"/>
      <c r="O148" s="259"/>
      <c r="P148" s="259"/>
      <c r="Q148" s="259"/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259"/>
      <c r="AD148" s="259"/>
    </row>
    <row r="149" spans="11:30" x14ac:dyDescent="0.2">
      <c r="K149" s="259"/>
      <c r="L149" s="259"/>
      <c r="M149" s="259"/>
      <c r="N149" s="259"/>
      <c r="O149" s="259"/>
      <c r="P149" s="259"/>
      <c r="Q149" s="259"/>
      <c r="R149" s="259"/>
      <c r="S149" s="259"/>
      <c r="T149" s="259"/>
      <c r="U149" s="259"/>
      <c r="V149" s="259"/>
      <c r="W149" s="259"/>
      <c r="X149" s="259"/>
      <c r="Y149" s="259"/>
      <c r="Z149" s="259"/>
      <c r="AA149" s="259"/>
      <c r="AB149" s="259"/>
      <c r="AC149" s="259"/>
      <c r="AD149" s="259"/>
    </row>
    <row r="150" spans="11:30" x14ac:dyDescent="0.2">
      <c r="K150" s="259"/>
      <c r="L150" s="259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259"/>
      <c r="AC150" s="259"/>
      <c r="AD150" s="259"/>
    </row>
    <row r="151" spans="11:30" x14ac:dyDescent="0.2">
      <c r="K151" s="259"/>
      <c r="L151" s="259"/>
      <c r="M151" s="259"/>
      <c r="N151" s="259"/>
      <c r="O151" s="259"/>
      <c r="P151" s="259"/>
      <c r="Q151" s="259"/>
      <c r="R151" s="259"/>
      <c r="S151" s="259"/>
      <c r="T151" s="259"/>
      <c r="U151" s="259"/>
      <c r="V151" s="259"/>
      <c r="W151" s="259"/>
      <c r="X151" s="259"/>
      <c r="Y151" s="259"/>
      <c r="Z151" s="259"/>
      <c r="AA151" s="259"/>
      <c r="AB151" s="259"/>
      <c r="AC151" s="259"/>
      <c r="AD151" s="259"/>
    </row>
    <row r="152" spans="11:30" x14ac:dyDescent="0.2">
      <c r="K152" s="259"/>
      <c r="L152" s="259"/>
      <c r="M152" s="259"/>
      <c r="N152" s="259"/>
      <c r="O152" s="259"/>
      <c r="P152" s="259"/>
      <c r="Q152" s="259"/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259"/>
      <c r="AD152" s="259"/>
    </row>
    <row r="153" spans="11:30" x14ac:dyDescent="0.2">
      <c r="K153" s="259"/>
      <c r="L153" s="259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259"/>
      <c r="AD153" s="259"/>
    </row>
    <row r="154" spans="11:30" x14ac:dyDescent="0.2">
      <c r="K154" s="259"/>
      <c r="L154" s="259"/>
      <c r="M154" s="259"/>
      <c r="N154" s="259"/>
      <c r="O154" s="259"/>
      <c r="P154" s="259"/>
      <c r="Q154" s="259"/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259"/>
      <c r="AD154" s="259"/>
    </row>
    <row r="155" spans="11:30" x14ac:dyDescent="0.2">
      <c r="K155" s="259"/>
      <c r="L155" s="259"/>
      <c r="M155" s="259"/>
      <c r="N155" s="259"/>
      <c r="O155" s="259"/>
      <c r="P155" s="259"/>
      <c r="Q155" s="259"/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259"/>
      <c r="AD155" s="259"/>
    </row>
    <row r="156" spans="11:30" x14ac:dyDescent="0.2">
      <c r="K156" s="259"/>
      <c r="L156" s="259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259"/>
      <c r="AD156" s="259"/>
    </row>
    <row r="157" spans="11:30" x14ac:dyDescent="0.2">
      <c r="K157" s="259"/>
      <c r="L157" s="259"/>
      <c r="M157" s="259"/>
      <c r="N157" s="259"/>
      <c r="O157" s="259"/>
      <c r="P157" s="259"/>
      <c r="Q157" s="259"/>
      <c r="R157" s="259"/>
      <c r="S157" s="259"/>
      <c r="T157" s="259"/>
      <c r="U157" s="259"/>
      <c r="V157" s="259"/>
      <c r="W157" s="259"/>
      <c r="X157" s="259"/>
      <c r="Y157" s="259"/>
      <c r="Z157" s="259"/>
      <c r="AA157" s="259"/>
      <c r="AB157" s="259"/>
      <c r="AC157" s="259"/>
      <c r="AD157" s="259"/>
    </row>
    <row r="158" spans="11:30" x14ac:dyDescent="0.2"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59"/>
      <c r="AD158" s="259"/>
    </row>
    <row r="159" spans="11:30" x14ac:dyDescent="0.2">
      <c r="K159" s="259"/>
      <c r="L159" s="259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259"/>
      <c r="AC159" s="259"/>
      <c r="AD159" s="259"/>
    </row>
    <row r="160" spans="11:30" x14ac:dyDescent="0.2">
      <c r="K160" s="259"/>
      <c r="L160" s="259"/>
      <c r="M160" s="259"/>
      <c r="N160" s="259"/>
      <c r="O160" s="259"/>
      <c r="P160" s="259"/>
      <c r="Q160" s="259"/>
      <c r="R160" s="259"/>
      <c r="S160" s="259"/>
      <c r="T160" s="259"/>
      <c r="U160" s="259"/>
      <c r="V160" s="259"/>
      <c r="W160" s="259"/>
      <c r="X160" s="259"/>
      <c r="Y160" s="259"/>
      <c r="Z160" s="259"/>
      <c r="AA160" s="259"/>
      <c r="AB160" s="259"/>
      <c r="AC160" s="259"/>
      <c r="AD160" s="259"/>
    </row>
    <row r="161" spans="11:30" x14ac:dyDescent="0.2">
      <c r="K161" s="259"/>
      <c r="L161" s="259"/>
      <c r="M161" s="259"/>
      <c r="N161" s="259"/>
      <c r="O161" s="259"/>
      <c r="P161" s="259"/>
      <c r="Q161" s="259"/>
      <c r="R161" s="259"/>
      <c r="S161" s="259"/>
      <c r="T161" s="259"/>
      <c r="U161" s="259"/>
      <c r="V161" s="259"/>
      <c r="W161" s="259"/>
      <c r="X161" s="259"/>
      <c r="Y161" s="259"/>
      <c r="Z161" s="259"/>
      <c r="AA161" s="259"/>
      <c r="AB161" s="259"/>
      <c r="AC161" s="259"/>
      <c r="AD161" s="259"/>
    </row>
    <row r="162" spans="11:30" x14ac:dyDescent="0.2">
      <c r="K162" s="259"/>
      <c r="L162" s="259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259"/>
      <c r="AC162" s="259"/>
      <c r="AD162" s="259"/>
    </row>
    <row r="163" spans="11:30" x14ac:dyDescent="0.2">
      <c r="K163" s="259"/>
      <c r="L163" s="259"/>
      <c r="M163" s="259"/>
      <c r="N163" s="259"/>
      <c r="O163" s="259"/>
      <c r="P163" s="259"/>
      <c r="Q163" s="259"/>
      <c r="R163" s="259"/>
      <c r="S163" s="259"/>
      <c r="T163" s="259"/>
      <c r="U163" s="259"/>
      <c r="V163" s="259"/>
      <c r="W163" s="259"/>
      <c r="X163" s="259"/>
      <c r="Y163" s="259"/>
      <c r="Z163" s="259"/>
      <c r="AA163" s="259"/>
      <c r="AB163" s="259"/>
      <c r="AC163" s="259"/>
      <c r="AD163" s="259"/>
    </row>
    <row r="164" spans="11:30" x14ac:dyDescent="0.2">
      <c r="K164" s="259"/>
      <c r="L164" s="259"/>
      <c r="M164" s="259"/>
      <c r="N164" s="259"/>
      <c r="O164" s="259"/>
      <c r="P164" s="259"/>
      <c r="Q164" s="259"/>
      <c r="R164" s="259"/>
      <c r="S164" s="259"/>
      <c r="T164" s="259"/>
      <c r="U164" s="259"/>
      <c r="V164" s="259"/>
      <c r="W164" s="259"/>
      <c r="X164" s="259"/>
      <c r="Y164" s="259"/>
      <c r="Z164" s="259"/>
      <c r="AA164" s="259"/>
      <c r="AB164" s="259"/>
      <c r="AC164" s="259"/>
      <c r="AD164" s="259"/>
    </row>
    <row r="165" spans="11:30" x14ac:dyDescent="0.2">
      <c r="K165" s="259"/>
      <c r="L165" s="259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259"/>
      <c r="AC165" s="259"/>
      <c r="AD165" s="259"/>
    </row>
    <row r="166" spans="11:30" x14ac:dyDescent="0.2">
      <c r="K166" s="259"/>
      <c r="L166" s="259"/>
      <c r="M166" s="259"/>
      <c r="N166" s="259"/>
      <c r="O166" s="259"/>
      <c r="P166" s="259"/>
      <c r="Q166" s="259"/>
      <c r="R166" s="259"/>
      <c r="S166" s="259"/>
      <c r="T166" s="259"/>
      <c r="U166" s="259"/>
      <c r="V166" s="259"/>
      <c r="W166" s="259"/>
      <c r="X166" s="259"/>
      <c r="Y166" s="259"/>
      <c r="Z166" s="259"/>
      <c r="AA166" s="259"/>
      <c r="AB166" s="259"/>
      <c r="AC166" s="259"/>
      <c r="AD166" s="259"/>
    </row>
    <row r="167" spans="11:30" x14ac:dyDescent="0.2">
      <c r="K167" s="259"/>
      <c r="L167" s="259"/>
      <c r="M167" s="259"/>
      <c r="N167" s="259"/>
      <c r="O167" s="259"/>
      <c r="P167" s="259"/>
      <c r="Q167" s="259"/>
      <c r="R167" s="259"/>
      <c r="S167" s="259"/>
      <c r="T167" s="259"/>
      <c r="U167" s="259"/>
      <c r="V167" s="259"/>
      <c r="W167" s="259"/>
      <c r="X167" s="259"/>
      <c r="Y167" s="259"/>
      <c r="Z167" s="259"/>
      <c r="AA167" s="259"/>
      <c r="AB167" s="259"/>
      <c r="AC167" s="259"/>
      <c r="AD167" s="259"/>
    </row>
    <row r="168" spans="11:30" x14ac:dyDescent="0.2">
      <c r="K168" s="259"/>
      <c r="L168" s="259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259"/>
      <c r="AC168" s="259"/>
      <c r="AD168" s="259"/>
    </row>
    <row r="169" spans="11:30" x14ac:dyDescent="0.2">
      <c r="K169" s="259"/>
      <c r="L169" s="259"/>
      <c r="M169" s="259"/>
      <c r="N169" s="259"/>
      <c r="O169" s="259"/>
      <c r="P169" s="259"/>
      <c r="Q169" s="259"/>
      <c r="R169" s="259"/>
      <c r="S169" s="259"/>
      <c r="T169" s="259"/>
      <c r="U169" s="259"/>
      <c r="V169" s="259"/>
      <c r="W169" s="259"/>
      <c r="X169" s="259"/>
      <c r="Y169" s="259"/>
      <c r="Z169" s="259"/>
      <c r="AA169" s="259"/>
      <c r="AB169" s="259"/>
      <c r="AC169" s="259"/>
      <c r="AD169" s="259"/>
    </row>
    <row r="170" spans="11:30" x14ac:dyDescent="0.2">
      <c r="K170" s="259"/>
      <c r="L170" s="259"/>
      <c r="M170" s="259"/>
      <c r="N170" s="259"/>
      <c r="O170" s="259"/>
      <c r="P170" s="259"/>
      <c r="Q170" s="259"/>
      <c r="R170" s="259"/>
      <c r="S170" s="259"/>
      <c r="T170" s="259"/>
      <c r="U170" s="259"/>
      <c r="V170" s="259"/>
      <c r="W170" s="259"/>
      <c r="X170" s="259"/>
      <c r="Y170" s="259"/>
      <c r="Z170" s="259"/>
      <c r="AA170" s="259"/>
      <c r="AB170" s="259"/>
      <c r="AC170" s="259"/>
      <c r="AD170" s="259"/>
    </row>
    <row r="171" spans="11:30" x14ac:dyDescent="0.2">
      <c r="K171" s="259"/>
      <c r="L171" s="259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259"/>
      <c r="AC171" s="259"/>
      <c r="AD171" s="259"/>
    </row>
    <row r="172" spans="11:30" x14ac:dyDescent="0.2">
      <c r="K172" s="259"/>
      <c r="L172" s="259"/>
      <c r="M172" s="259"/>
      <c r="N172" s="259"/>
      <c r="O172" s="259"/>
      <c r="P172" s="259"/>
      <c r="Q172" s="259"/>
      <c r="R172" s="259"/>
      <c r="S172" s="259"/>
      <c r="T172" s="259"/>
      <c r="U172" s="259"/>
      <c r="V172" s="259"/>
      <c r="W172" s="259"/>
      <c r="X172" s="259"/>
      <c r="Y172" s="259"/>
      <c r="Z172" s="259"/>
      <c r="AA172" s="259"/>
      <c r="AB172" s="259"/>
      <c r="AC172" s="259"/>
      <c r="AD172" s="259"/>
    </row>
    <row r="173" spans="11:30" x14ac:dyDescent="0.2">
      <c r="K173" s="259"/>
      <c r="L173" s="259"/>
      <c r="M173" s="259"/>
      <c r="N173" s="259"/>
      <c r="O173" s="259"/>
      <c r="P173" s="259"/>
      <c r="Q173" s="259"/>
      <c r="R173" s="259"/>
      <c r="S173" s="259"/>
      <c r="T173" s="259"/>
      <c r="U173" s="259"/>
      <c r="V173" s="259"/>
      <c r="W173" s="259"/>
      <c r="X173" s="259"/>
      <c r="Y173" s="259"/>
      <c r="Z173" s="259"/>
      <c r="AA173" s="259"/>
      <c r="AB173" s="259"/>
      <c r="AC173" s="259"/>
      <c r="AD173" s="259"/>
    </row>
    <row r="174" spans="11:30" x14ac:dyDescent="0.2">
      <c r="K174" s="259"/>
      <c r="L174" s="259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</row>
    <row r="175" spans="11:30" x14ac:dyDescent="0.2">
      <c r="K175" s="259"/>
      <c r="L175" s="259"/>
      <c r="M175" s="259"/>
      <c r="N175" s="259"/>
      <c r="O175" s="259"/>
      <c r="P175" s="259"/>
      <c r="Q175" s="259"/>
      <c r="R175" s="259"/>
      <c r="S175" s="259"/>
      <c r="T175" s="259"/>
      <c r="U175" s="259"/>
      <c r="V175" s="259"/>
      <c r="W175" s="259"/>
      <c r="X175" s="259"/>
      <c r="Y175" s="259"/>
      <c r="Z175" s="259"/>
      <c r="AA175" s="259"/>
      <c r="AB175" s="259"/>
      <c r="AC175" s="259"/>
      <c r="AD175" s="259"/>
    </row>
    <row r="176" spans="11:30" x14ac:dyDescent="0.2">
      <c r="K176" s="259"/>
      <c r="L176" s="259"/>
      <c r="M176" s="259"/>
      <c r="N176" s="259"/>
      <c r="O176" s="259"/>
      <c r="P176" s="259"/>
      <c r="Q176" s="259"/>
      <c r="R176" s="259"/>
      <c r="S176" s="259"/>
      <c r="T176" s="259"/>
      <c r="U176" s="259"/>
      <c r="V176" s="259"/>
      <c r="W176" s="259"/>
      <c r="X176" s="259"/>
      <c r="Y176" s="259"/>
      <c r="Z176" s="259"/>
      <c r="AA176" s="259"/>
      <c r="AB176" s="259"/>
      <c r="AC176" s="259"/>
      <c r="AD176" s="259"/>
    </row>
    <row r="177" spans="11:30" x14ac:dyDescent="0.2">
      <c r="K177" s="259"/>
      <c r="L177" s="259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/>
      <c r="Z177" s="259"/>
      <c r="AA177" s="259"/>
      <c r="AB177" s="259"/>
      <c r="AC177" s="259"/>
      <c r="AD177" s="259"/>
    </row>
    <row r="178" spans="11:30" x14ac:dyDescent="0.2">
      <c r="K178" s="259"/>
      <c r="L178" s="259"/>
      <c r="M178" s="259"/>
      <c r="N178" s="259"/>
      <c r="O178" s="259"/>
      <c r="P178" s="259"/>
      <c r="Q178" s="259"/>
      <c r="R178" s="259"/>
      <c r="S178" s="259"/>
      <c r="T178" s="259"/>
      <c r="U178" s="259"/>
      <c r="V178" s="259"/>
      <c r="W178" s="259"/>
      <c r="X178" s="259"/>
      <c r="Y178" s="259"/>
      <c r="Z178" s="259"/>
      <c r="AA178" s="259"/>
      <c r="AB178" s="259"/>
      <c r="AC178" s="259"/>
      <c r="AD178" s="259"/>
    </row>
    <row r="179" spans="11:30" x14ac:dyDescent="0.2">
      <c r="K179" s="259"/>
      <c r="L179" s="259"/>
      <c r="M179" s="259"/>
      <c r="N179" s="259"/>
      <c r="O179" s="259"/>
      <c r="P179" s="259"/>
      <c r="Q179" s="259"/>
      <c r="R179" s="259"/>
      <c r="S179" s="259"/>
      <c r="T179" s="259"/>
      <c r="U179" s="259"/>
      <c r="V179" s="259"/>
      <c r="W179" s="259"/>
      <c r="X179" s="259"/>
      <c r="Y179" s="259"/>
      <c r="Z179" s="259"/>
      <c r="AA179" s="259"/>
      <c r="AB179" s="259"/>
      <c r="AC179" s="259"/>
      <c r="AD179" s="259"/>
    </row>
    <row r="180" spans="11:30" x14ac:dyDescent="0.2">
      <c r="K180" s="259"/>
      <c r="L180" s="259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259"/>
      <c r="AC180" s="259"/>
      <c r="AD180" s="259"/>
    </row>
    <row r="181" spans="11:30" x14ac:dyDescent="0.2">
      <c r="K181" s="259"/>
      <c r="L181" s="259"/>
      <c r="M181" s="259"/>
      <c r="N181" s="259"/>
      <c r="O181" s="259"/>
      <c r="P181" s="259"/>
      <c r="Q181" s="259"/>
      <c r="R181" s="259"/>
      <c r="S181" s="259"/>
      <c r="T181" s="259"/>
      <c r="U181" s="259"/>
      <c r="V181" s="259"/>
      <c r="W181" s="259"/>
      <c r="X181" s="259"/>
      <c r="Y181" s="259"/>
      <c r="Z181" s="259"/>
      <c r="AA181" s="259"/>
      <c r="AB181" s="259"/>
      <c r="AC181" s="259"/>
      <c r="AD181" s="259"/>
    </row>
    <row r="182" spans="11:30" x14ac:dyDescent="0.2">
      <c r="K182" s="259"/>
      <c r="L182" s="259"/>
      <c r="M182" s="259"/>
      <c r="N182" s="259"/>
      <c r="O182" s="259"/>
      <c r="P182" s="259"/>
      <c r="Q182" s="259"/>
      <c r="R182" s="259"/>
      <c r="S182" s="259"/>
      <c r="T182" s="259"/>
      <c r="U182" s="259"/>
      <c r="V182" s="259"/>
      <c r="W182" s="259"/>
      <c r="X182" s="259"/>
      <c r="Y182" s="259"/>
      <c r="Z182" s="259"/>
      <c r="AA182" s="259"/>
      <c r="AB182" s="259"/>
      <c r="AC182" s="259"/>
      <c r="AD182" s="259"/>
    </row>
    <row r="183" spans="11:30" x14ac:dyDescent="0.2">
      <c r="K183" s="259"/>
      <c r="L183" s="259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259"/>
      <c r="AC183" s="259"/>
      <c r="AD183" s="259"/>
    </row>
    <row r="184" spans="11:30" x14ac:dyDescent="0.2">
      <c r="K184" s="259"/>
      <c r="L184" s="259"/>
      <c r="M184" s="259"/>
      <c r="N184" s="259"/>
      <c r="O184" s="259"/>
      <c r="P184" s="259"/>
      <c r="Q184" s="259"/>
      <c r="R184" s="259"/>
      <c r="S184" s="259"/>
      <c r="T184" s="259"/>
      <c r="U184" s="259"/>
      <c r="V184" s="259"/>
      <c r="W184" s="259"/>
      <c r="X184" s="259"/>
      <c r="Y184" s="259"/>
      <c r="Z184" s="259"/>
      <c r="AA184" s="259"/>
      <c r="AB184" s="259"/>
      <c r="AC184" s="259"/>
      <c r="AD184" s="259"/>
    </row>
    <row r="185" spans="11:30" x14ac:dyDescent="0.2">
      <c r="K185" s="259"/>
      <c r="L185" s="259"/>
      <c r="M185" s="259"/>
      <c r="N185" s="259"/>
      <c r="O185" s="259"/>
      <c r="P185" s="259"/>
      <c r="Q185" s="259"/>
      <c r="R185" s="259"/>
      <c r="S185" s="259"/>
      <c r="T185" s="259"/>
      <c r="U185" s="259"/>
      <c r="V185" s="259"/>
      <c r="W185" s="259"/>
      <c r="X185" s="259"/>
      <c r="Y185" s="259"/>
      <c r="Z185" s="259"/>
      <c r="AA185" s="259"/>
      <c r="AB185" s="259"/>
      <c r="AC185" s="259"/>
      <c r="AD185" s="259"/>
    </row>
    <row r="186" spans="11:30" x14ac:dyDescent="0.2">
      <c r="K186" s="259"/>
      <c r="L186" s="259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259"/>
      <c r="AC186" s="259"/>
      <c r="AD186" s="259"/>
    </row>
    <row r="187" spans="11:30" x14ac:dyDescent="0.2">
      <c r="K187" s="259"/>
      <c r="L187" s="259"/>
      <c r="M187" s="259"/>
      <c r="N187" s="259"/>
      <c r="O187" s="259"/>
      <c r="P187" s="259"/>
      <c r="Q187" s="259"/>
      <c r="R187" s="259"/>
      <c r="S187" s="259"/>
      <c r="T187" s="259"/>
      <c r="U187" s="259"/>
      <c r="V187" s="259"/>
      <c r="W187" s="259"/>
      <c r="X187" s="259"/>
      <c r="Y187" s="259"/>
      <c r="Z187" s="259"/>
      <c r="AA187" s="259"/>
      <c r="AB187" s="259"/>
      <c r="AC187" s="259"/>
      <c r="AD187" s="259"/>
    </row>
    <row r="188" spans="11:30" x14ac:dyDescent="0.2">
      <c r="K188" s="259"/>
      <c r="L188" s="259"/>
      <c r="M188" s="259"/>
      <c r="N188" s="259"/>
      <c r="O188" s="259"/>
      <c r="P188" s="259"/>
      <c r="Q188" s="259"/>
      <c r="R188" s="259"/>
      <c r="S188" s="259"/>
      <c r="T188" s="259"/>
      <c r="U188" s="259"/>
      <c r="V188" s="259"/>
      <c r="W188" s="259"/>
      <c r="X188" s="259"/>
      <c r="Y188" s="259"/>
      <c r="Z188" s="259"/>
      <c r="AA188" s="259"/>
      <c r="AB188" s="259"/>
      <c r="AC188" s="259"/>
      <c r="AD188" s="259"/>
    </row>
    <row r="189" spans="11:30" x14ac:dyDescent="0.2">
      <c r="K189" s="259"/>
      <c r="L189" s="259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59"/>
    </row>
    <row r="190" spans="11:30" x14ac:dyDescent="0.2">
      <c r="K190" s="259"/>
      <c r="L190" s="259"/>
      <c r="M190" s="259"/>
      <c r="N190" s="259"/>
      <c r="O190" s="259"/>
      <c r="P190" s="259"/>
      <c r="Q190" s="259"/>
      <c r="R190" s="259"/>
      <c r="S190" s="259"/>
      <c r="T190" s="259"/>
      <c r="U190" s="259"/>
      <c r="V190" s="259"/>
      <c r="W190" s="259"/>
      <c r="X190" s="259"/>
      <c r="Y190" s="259"/>
      <c r="Z190" s="259"/>
      <c r="AA190" s="259"/>
      <c r="AB190" s="259"/>
      <c r="AC190" s="259"/>
      <c r="AD190" s="259"/>
    </row>
    <row r="191" spans="11:30" x14ac:dyDescent="0.2">
      <c r="K191" s="259"/>
      <c r="L191" s="259"/>
      <c r="M191" s="259"/>
      <c r="N191" s="259"/>
      <c r="O191" s="259"/>
      <c r="P191" s="259"/>
      <c r="Q191" s="259"/>
      <c r="R191" s="259"/>
      <c r="S191" s="259"/>
      <c r="T191" s="259"/>
      <c r="U191" s="259"/>
      <c r="V191" s="259"/>
      <c r="W191" s="259"/>
      <c r="X191" s="259"/>
      <c r="Y191" s="259"/>
      <c r="Z191" s="259"/>
      <c r="AA191" s="259"/>
      <c r="AB191" s="259"/>
      <c r="AC191" s="259"/>
      <c r="AD191" s="259"/>
    </row>
    <row r="192" spans="11:30" x14ac:dyDescent="0.2">
      <c r="K192" s="259"/>
      <c r="L192" s="259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259"/>
      <c r="AC192" s="259"/>
      <c r="AD192" s="259"/>
    </row>
    <row r="193" spans="11:30" x14ac:dyDescent="0.2">
      <c r="K193" s="259"/>
      <c r="L193" s="259"/>
      <c r="M193" s="259"/>
      <c r="N193" s="259"/>
      <c r="O193" s="259"/>
      <c r="P193" s="259"/>
      <c r="Q193" s="259"/>
      <c r="R193" s="259"/>
      <c r="S193" s="259"/>
      <c r="T193" s="259"/>
      <c r="U193" s="259"/>
      <c r="V193" s="259"/>
      <c r="W193" s="259"/>
      <c r="X193" s="259"/>
      <c r="Y193" s="259"/>
      <c r="Z193" s="259"/>
      <c r="AA193" s="259"/>
      <c r="AB193" s="259"/>
      <c r="AC193" s="259"/>
      <c r="AD193" s="259"/>
    </row>
    <row r="194" spans="11:30" x14ac:dyDescent="0.2">
      <c r="K194" s="259"/>
      <c r="L194" s="259"/>
      <c r="M194" s="259"/>
      <c r="N194" s="259"/>
      <c r="O194" s="259"/>
      <c r="P194" s="259"/>
      <c r="Q194" s="259"/>
      <c r="R194" s="259"/>
      <c r="S194" s="259"/>
      <c r="T194" s="259"/>
      <c r="U194" s="259"/>
      <c r="V194" s="259"/>
      <c r="W194" s="259"/>
      <c r="X194" s="259"/>
      <c r="Y194" s="259"/>
      <c r="Z194" s="259"/>
      <c r="AA194" s="259"/>
      <c r="AB194" s="259"/>
      <c r="AC194" s="259"/>
      <c r="AD194" s="259"/>
    </row>
    <row r="195" spans="11:30" x14ac:dyDescent="0.2">
      <c r="K195" s="259"/>
      <c r="L195" s="259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259"/>
      <c r="AC195" s="259"/>
      <c r="AD195" s="259"/>
    </row>
    <row r="196" spans="11:30" x14ac:dyDescent="0.2">
      <c r="K196" s="259"/>
      <c r="L196" s="259"/>
      <c r="M196" s="259"/>
      <c r="N196" s="259"/>
      <c r="O196" s="259"/>
      <c r="P196" s="259"/>
      <c r="Q196" s="259"/>
      <c r="R196" s="259"/>
      <c r="S196" s="259"/>
      <c r="T196" s="259"/>
      <c r="U196" s="259"/>
      <c r="V196" s="259"/>
      <c r="W196" s="259"/>
      <c r="X196" s="259"/>
      <c r="Y196" s="259"/>
      <c r="Z196" s="259"/>
      <c r="AA196" s="259"/>
      <c r="AB196" s="259"/>
      <c r="AC196" s="259"/>
      <c r="AD196" s="259"/>
    </row>
    <row r="197" spans="11:30" x14ac:dyDescent="0.2">
      <c r="K197" s="259"/>
      <c r="L197" s="259"/>
      <c r="M197" s="259"/>
      <c r="N197" s="259"/>
      <c r="O197" s="259"/>
      <c r="P197" s="259"/>
      <c r="Q197" s="259"/>
      <c r="R197" s="259"/>
      <c r="S197" s="259"/>
      <c r="T197" s="259"/>
      <c r="U197" s="259"/>
      <c r="V197" s="259"/>
      <c r="W197" s="259"/>
      <c r="X197" s="259"/>
      <c r="Y197" s="259"/>
      <c r="Z197" s="259"/>
      <c r="AA197" s="259"/>
      <c r="AB197" s="259"/>
      <c r="AC197" s="259"/>
      <c r="AD197" s="259"/>
    </row>
    <row r="198" spans="11:30" x14ac:dyDescent="0.2">
      <c r="K198" s="259"/>
      <c r="L198" s="259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259"/>
      <c r="AC198" s="259"/>
      <c r="AD198" s="259"/>
    </row>
    <row r="199" spans="11:30" x14ac:dyDescent="0.2">
      <c r="K199" s="259"/>
      <c r="L199" s="259"/>
      <c r="M199" s="259"/>
      <c r="N199" s="259"/>
      <c r="O199" s="259"/>
      <c r="P199" s="259"/>
      <c r="Q199" s="259"/>
      <c r="R199" s="259"/>
      <c r="S199" s="259"/>
      <c r="T199" s="259"/>
      <c r="U199" s="259"/>
      <c r="V199" s="259"/>
      <c r="W199" s="259"/>
      <c r="X199" s="259"/>
      <c r="Y199" s="259"/>
      <c r="Z199" s="259"/>
      <c r="AA199" s="259"/>
      <c r="AB199" s="259"/>
      <c r="AC199" s="259"/>
      <c r="AD199" s="259"/>
    </row>
    <row r="200" spans="11:30" x14ac:dyDescent="0.2">
      <c r="K200" s="259"/>
      <c r="L200" s="259"/>
      <c r="M200" s="259"/>
      <c r="N200" s="259"/>
      <c r="O200" s="259"/>
      <c r="P200" s="259"/>
      <c r="Q200" s="259"/>
      <c r="R200" s="259"/>
      <c r="S200" s="259"/>
      <c r="T200" s="259"/>
      <c r="U200" s="259"/>
      <c r="V200" s="259"/>
      <c r="W200" s="259"/>
      <c r="X200" s="259"/>
      <c r="Y200" s="259"/>
      <c r="Z200" s="259"/>
      <c r="AA200" s="259"/>
      <c r="AB200" s="259"/>
      <c r="AC200" s="259"/>
      <c r="AD200" s="259"/>
    </row>
    <row r="201" spans="11:30" x14ac:dyDescent="0.2">
      <c r="K201" s="259"/>
      <c r="L201" s="259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259"/>
      <c r="AC201" s="259"/>
      <c r="AD201" s="259"/>
    </row>
    <row r="202" spans="11:30" x14ac:dyDescent="0.2">
      <c r="K202" s="259"/>
      <c r="L202" s="259"/>
      <c r="M202" s="259"/>
      <c r="N202" s="259"/>
      <c r="O202" s="259"/>
      <c r="P202" s="259"/>
      <c r="Q202" s="259"/>
      <c r="R202" s="259"/>
      <c r="S202" s="259"/>
      <c r="T202" s="259"/>
      <c r="U202" s="259"/>
      <c r="V202" s="259"/>
      <c r="W202" s="259"/>
      <c r="X202" s="259"/>
      <c r="Y202" s="259"/>
      <c r="Z202" s="259"/>
      <c r="AA202" s="259"/>
      <c r="AB202" s="259"/>
      <c r="AC202" s="259"/>
      <c r="AD202" s="259"/>
    </row>
    <row r="203" spans="11:30" x14ac:dyDescent="0.2">
      <c r="K203" s="259"/>
      <c r="L203" s="259"/>
      <c r="M203" s="259"/>
      <c r="N203" s="259"/>
      <c r="O203" s="259"/>
      <c r="P203" s="259"/>
      <c r="Q203" s="259"/>
      <c r="R203" s="259"/>
      <c r="S203" s="259"/>
      <c r="T203" s="259"/>
      <c r="U203" s="259"/>
      <c r="V203" s="259"/>
      <c r="W203" s="259"/>
      <c r="X203" s="259"/>
      <c r="Y203" s="259"/>
      <c r="Z203" s="259"/>
      <c r="AA203" s="259"/>
      <c r="AB203" s="259"/>
      <c r="AC203" s="259"/>
      <c r="AD203" s="259"/>
    </row>
    <row r="204" spans="11:30" x14ac:dyDescent="0.2">
      <c r="K204" s="259"/>
      <c r="L204" s="259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259"/>
      <c r="AC204" s="259"/>
      <c r="AD204" s="259"/>
    </row>
    <row r="205" spans="11:30" x14ac:dyDescent="0.2">
      <c r="K205" s="259"/>
      <c r="L205" s="259"/>
      <c r="M205" s="259"/>
      <c r="N205" s="259"/>
      <c r="O205" s="259"/>
      <c r="P205" s="259"/>
      <c r="Q205" s="259"/>
      <c r="R205" s="259"/>
      <c r="S205" s="259"/>
      <c r="T205" s="259"/>
      <c r="U205" s="259"/>
      <c r="V205" s="259"/>
      <c r="W205" s="259"/>
      <c r="X205" s="259"/>
      <c r="Y205" s="259"/>
      <c r="Z205" s="259"/>
      <c r="AA205" s="259"/>
      <c r="AB205" s="259"/>
      <c r="AC205" s="259"/>
      <c r="AD205" s="259"/>
    </row>
    <row r="206" spans="11:30" x14ac:dyDescent="0.2">
      <c r="K206" s="259"/>
      <c r="L206" s="259"/>
      <c r="M206" s="259"/>
      <c r="N206" s="259"/>
      <c r="O206" s="259"/>
      <c r="P206" s="259"/>
      <c r="Q206" s="259"/>
      <c r="R206" s="259"/>
      <c r="S206" s="259"/>
      <c r="T206" s="259"/>
      <c r="U206" s="259"/>
      <c r="V206" s="259"/>
      <c r="W206" s="259"/>
      <c r="X206" s="259"/>
      <c r="Y206" s="259"/>
      <c r="Z206" s="259"/>
      <c r="AA206" s="259"/>
      <c r="AB206" s="259"/>
      <c r="AC206" s="259"/>
      <c r="AD206" s="259"/>
    </row>
    <row r="207" spans="11:30" x14ac:dyDescent="0.2">
      <c r="K207" s="259"/>
      <c r="L207" s="259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259"/>
      <c r="AC207" s="259"/>
      <c r="AD207" s="259"/>
    </row>
    <row r="208" spans="11:30" x14ac:dyDescent="0.2">
      <c r="K208" s="259"/>
      <c r="L208" s="259"/>
      <c r="M208" s="259"/>
      <c r="N208" s="259"/>
      <c r="O208" s="259"/>
      <c r="P208" s="259"/>
      <c r="Q208" s="259"/>
      <c r="R208" s="259"/>
      <c r="S208" s="259"/>
      <c r="T208" s="259"/>
      <c r="U208" s="259"/>
      <c r="V208" s="259"/>
      <c r="W208" s="259"/>
      <c r="X208" s="259"/>
      <c r="Y208" s="259"/>
      <c r="Z208" s="259"/>
      <c r="AA208" s="259"/>
      <c r="AB208" s="259"/>
      <c r="AC208" s="259"/>
      <c r="AD208" s="259"/>
    </row>
    <row r="209" spans="11:30" x14ac:dyDescent="0.2">
      <c r="K209" s="259"/>
      <c r="L209" s="259"/>
      <c r="M209" s="259"/>
      <c r="N209" s="259"/>
      <c r="O209" s="259"/>
      <c r="P209" s="259"/>
      <c r="Q209" s="259"/>
      <c r="R209" s="259"/>
      <c r="S209" s="259"/>
      <c r="T209" s="259"/>
      <c r="U209" s="259"/>
      <c r="V209" s="259"/>
      <c r="W209" s="259"/>
      <c r="X209" s="259"/>
      <c r="Y209" s="259"/>
      <c r="Z209" s="259"/>
      <c r="AA209" s="259"/>
      <c r="AB209" s="259"/>
      <c r="AC209" s="259"/>
      <c r="AD209" s="259"/>
    </row>
    <row r="210" spans="11:30" x14ac:dyDescent="0.2">
      <c r="K210" s="259"/>
      <c r="L210" s="259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259"/>
      <c r="AC210" s="259"/>
      <c r="AD210" s="259"/>
    </row>
    <row r="211" spans="11:30" x14ac:dyDescent="0.2">
      <c r="K211" s="259"/>
      <c r="L211" s="259"/>
      <c r="M211" s="259"/>
      <c r="N211" s="259"/>
      <c r="O211" s="259"/>
      <c r="P211" s="259"/>
      <c r="Q211" s="259"/>
      <c r="R211" s="259"/>
      <c r="S211" s="259"/>
      <c r="T211" s="259"/>
      <c r="U211" s="259"/>
      <c r="V211" s="259"/>
      <c r="W211" s="259"/>
      <c r="X211" s="259"/>
      <c r="Y211" s="259"/>
      <c r="Z211" s="259"/>
      <c r="AA211" s="259"/>
      <c r="AB211" s="259"/>
      <c r="AC211" s="259"/>
      <c r="AD211" s="259"/>
    </row>
    <row r="212" spans="11:30" x14ac:dyDescent="0.2">
      <c r="K212" s="259"/>
      <c r="L212" s="259"/>
      <c r="M212" s="259"/>
      <c r="N212" s="259"/>
      <c r="O212" s="259"/>
      <c r="P212" s="259"/>
      <c r="Q212" s="259"/>
      <c r="R212" s="259"/>
      <c r="S212" s="259"/>
      <c r="T212" s="259"/>
      <c r="U212" s="259"/>
      <c r="V212" s="259"/>
      <c r="W212" s="259"/>
      <c r="X212" s="259"/>
      <c r="Y212" s="259"/>
      <c r="Z212" s="259"/>
      <c r="AA212" s="259"/>
      <c r="AB212" s="259"/>
      <c r="AC212" s="259"/>
      <c r="AD212" s="259"/>
    </row>
    <row r="213" spans="11:30" x14ac:dyDescent="0.2">
      <c r="K213" s="259"/>
      <c r="L213" s="259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259"/>
      <c r="AC213" s="259"/>
      <c r="AD213" s="259"/>
    </row>
    <row r="214" spans="11:30" x14ac:dyDescent="0.2">
      <c r="K214" s="259"/>
      <c r="L214" s="259"/>
      <c r="M214" s="259"/>
      <c r="N214" s="259"/>
      <c r="O214" s="259"/>
      <c r="P214" s="259"/>
      <c r="Q214" s="259"/>
      <c r="R214" s="259"/>
      <c r="S214" s="259"/>
      <c r="T214" s="259"/>
      <c r="U214" s="259"/>
      <c r="V214" s="259"/>
      <c r="W214" s="259"/>
      <c r="X214" s="259"/>
      <c r="Y214" s="259"/>
      <c r="Z214" s="259"/>
      <c r="AA214" s="259"/>
      <c r="AB214" s="259"/>
      <c r="AC214" s="259"/>
      <c r="AD214" s="259"/>
    </row>
    <row r="215" spans="11:30" x14ac:dyDescent="0.2">
      <c r="K215" s="259"/>
      <c r="L215" s="259"/>
      <c r="M215" s="259"/>
      <c r="N215" s="259"/>
      <c r="O215" s="259"/>
      <c r="P215" s="259"/>
      <c r="Q215" s="259"/>
      <c r="R215" s="259"/>
      <c r="S215" s="259"/>
      <c r="T215" s="259"/>
      <c r="U215" s="259"/>
      <c r="V215" s="259"/>
      <c r="W215" s="259"/>
      <c r="X215" s="259"/>
      <c r="Y215" s="259"/>
      <c r="Z215" s="259"/>
      <c r="AA215" s="259"/>
      <c r="AB215" s="259"/>
      <c r="AC215" s="259"/>
      <c r="AD215" s="259"/>
    </row>
    <row r="216" spans="11:30" x14ac:dyDescent="0.2">
      <c r="K216" s="259"/>
      <c r="L216" s="259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259"/>
      <c r="AC216" s="259"/>
      <c r="AD216" s="259"/>
    </row>
    <row r="217" spans="11:30" x14ac:dyDescent="0.2">
      <c r="K217" s="259"/>
      <c r="L217" s="259"/>
      <c r="M217" s="259"/>
      <c r="N217" s="259"/>
      <c r="O217" s="259"/>
      <c r="P217" s="259"/>
      <c r="Q217" s="259"/>
      <c r="R217" s="259"/>
      <c r="S217" s="259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</row>
    <row r="218" spans="11:30" x14ac:dyDescent="0.2">
      <c r="K218" s="259"/>
      <c r="L218" s="259"/>
      <c r="M218" s="259"/>
      <c r="N218" s="259"/>
      <c r="O218" s="259"/>
      <c r="P218" s="259"/>
      <c r="Q218" s="259"/>
      <c r="R218" s="259"/>
      <c r="S218" s="259"/>
      <c r="T218" s="259"/>
      <c r="U218" s="259"/>
      <c r="V218" s="259"/>
      <c r="W218" s="259"/>
      <c r="X218" s="259"/>
      <c r="Y218" s="259"/>
      <c r="Z218" s="259"/>
      <c r="AA218" s="259"/>
      <c r="AB218" s="259"/>
      <c r="AC218" s="259"/>
      <c r="AD218" s="259"/>
    </row>
    <row r="219" spans="11:30" x14ac:dyDescent="0.2">
      <c r="K219" s="259"/>
      <c r="L219" s="259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259"/>
      <c r="AC219" s="259"/>
      <c r="AD219" s="259"/>
    </row>
    <row r="220" spans="11:30" x14ac:dyDescent="0.2">
      <c r="K220" s="259"/>
      <c r="L220" s="259"/>
      <c r="M220" s="259"/>
      <c r="N220" s="259"/>
      <c r="O220" s="259"/>
      <c r="P220" s="259"/>
      <c r="Q220" s="259"/>
      <c r="R220" s="259"/>
      <c r="S220" s="259"/>
      <c r="T220" s="259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</row>
    <row r="221" spans="11:30" x14ac:dyDescent="0.2">
      <c r="K221" s="259"/>
      <c r="L221" s="259"/>
      <c r="M221" s="259"/>
      <c r="N221" s="259"/>
      <c r="O221" s="259"/>
      <c r="P221" s="259"/>
      <c r="Q221" s="259"/>
      <c r="R221" s="259"/>
      <c r="S221" s="259"/>
      <c r="T221" s="259"/>
      <c r="U221" s="259"/>
      <c r="V221" s="259"/>
      <c r="W221" s="259"/>
      <c r="X221" s="259"/>
      <c r="Y221" s="259"/>
      <c r="Z221" s="259"/>
      <c r="AA221" s="259"/>
      <c r="AB221" s="259"/>
      <c r="AC221" s="259"/>
      <c r="AD221" s="259"/>
    </row>
    <row r="222" spans="11:30" x14ac:dyDescent="0.2">
      <c r="K222" s="259"/>
      <c r="L222" s="259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259"/>
      <c r="AC222" s="259"/>
      <c r="AD222" s="259"/>
    </row>
    <row r="223" spans="11:30" x14ac:dyDescent="0.2">
      <c r="K223" s="259"/>
      <c r="L223" s="259"/>
      <c r="M223" s="259"/>
      <c r="N223" s="259"/>
      <c r="O223" s="259"/>
      <c r="P223" s="259"/>
      <c r="Q223" s="259"/>
      <c r="R223" s="259"/>
      <c r="S223" s="259"/>
      <c r="T223" s="259"/>
      <c r="U223" s="259"/>
      <c r="V223" s="259"/>
      <c r="W223" s="259"/>
      <c r="X223" s="259"/>
      <c r="Y223" s="259"/>
      <c r="Z223" s="259"/>
      <c r="AA223" s="259"/>
      <c r="AB223" s="259"/>
      <c r="AC223" s="259"/>
      <c r="AD223" s="259"/>
    </row>
    <row r="224" spans="11:30" x14ac:dyDescent="0.2">
      <c r="K224" s="259"/>
      <c r="L224" s="259"/>
      <c r="M224" s="259"/>
      <c r="N224" s="259"/>
      <c r="O224" s="259"/>
      <c r="P224" s="259"/>
      <c r="Q224" s="259"/>
      <c r="R224" s="259"/>
      <c r="S224" s="259"/>
      <c r="T224" s="259"/>
      <c r="U224" s="259"/>
      <c r="V224" s="259"/>
      <c r="W224" s="259"/>
      <c r="X224" s="259"/>
      <c r="Y224" s="259"/>
      <c r="Z224" s="259"/>
      <c r="AA224" s="259"/>
      <c r="AB224" s="259"/>
      <c r="AC224" s="259"/>
      <c r="AD224" s="259"/>
    </row>
    <row r="225" spans="11:30" x14ac:dyDescent="0.2">
      <c r="K225" s="232"/>
      <c r="L225" s="232"/>
      <c r="M225" s="232"/>
      <c r="N225" s="232"/>
      <c r="O225" s="232"/>
      <c r="P225" s="232"/>
      <c r="Q225" s="232"/>
      <c r="R225" s="232"/>
      <c r="S225" s="232"/>
      <c r="T225" s="232"/>
      <c r="U225" s="232"/>
      <c r="V225" s="232"/>
      <c r="W225" s="232"/>
      <c r="X225" s="232"/>
      <c r="Y225" s="232"/>
      <c r="Z225" s="232"/>
      <c r="AA225" s="232"/>
      <c r="AB225" s="232"/>
      <c r="AC225" s="232"/>
      <c r="AD225" s="232"/>
    </row>
    <row r="226" spans="11:30" x14ac:dyDescent="0.2">
      <c r="K226" s="232"/>
      <c r="L226" s="232"/>
      <c r="M226" s="232"/>
      <c r="N226" s="232"/>
      <c r="O226" s="232"/>
      <c r="P226" s="232"/>
      <c r="Q226" s="232"/>
      <c r="R226" s="232"/>
      <c r="S226" s="232"/>
      <c r="T226" s="232"/>
      <c r="U226" s="232"/>
      <c r="V226" s="232"/>
      <c r="W226" s="232"/>
      <c r="X226" s="232"/>
      <c r="Y226" s="232"/>
      <c r="Z226" s="232"/>
      <c r="AA226" s="232"/>
      <c r="AB226" s="232"/>
      <c r="AC226" s="232"/>
      <c r="AD226" s="232"/>
    </row>
    <row r="227" spans="11:30" x14ac:dyDescent="0.2">
      <c r="K227" s="232"/>
      <c r="L227" s="232"/>
      <c r="M227" s="232"/>
      <c r="N227" s="232"/>
      <c r="O227" s="232"/>
      <c r="P227" s="232"/>
      <c r="Q227" s="232"/>
      <c r="R227" s="232"/>
      <c r="S227" s="232"/>
      <c r="T227" s="232"/>
      <c r="U227" s="232"/>
      <c r="V227" s="232"/>
      <c r="W227" s="232"/>
      <c r="X227" s="232"/>
      <c r="Y227" s="232"/>
      <c r="Z227" s="232"/>
      <c r="AA227" s="232"/>
      <c r="AB227" s="232"/>
      <c r="AC227" s="232"/>
      <c r="AD227" s="232"/>
    </row>
    <row r="228" spans="11:30" x14ac:dyDescent="0.2">
      <c r="K228" s="232"/>
      <c r="L228" s="232"/>
      <c r="M228" s="232"/>
      <c r="N228" s="232"/>
      <c r="O228" s="232"/>
      <c r="P228" s="232"/>
      <c r="Q228" s="232"/>
      <c r="R228" s="232"/>
      <c r="S228" s="232"/>
      <c r="T228" s="232"/>
      <c r="U228" s="232"/>
      <c r="V228" s="232"/>
      <c r="W228" s="232"/>
      <c r="X228" s="232"/>
      <c r="Y228" s="232"/>
      <c r="Z228" s="232"/>
      <c r="AA228" s="232"/>
      <c r="AB228" s="232"/>
      <c r="AC228" s="232"/>
      <c r="AD228" s="232"/>
    </row>
    <row r="229" spans="11:30" x14ac:dyDescent="0.2">
      <c r="K229" s="232"/>
      <c r="L229" s="232"/>
      <c r="M229" s="232"/>
      <c r="N229" s="232"/>
      <c r="O229" s="232"/>
      <c r="P229" s="232"/>
      <c r="Q229" s="232"/>
      <c r="R229" s="232"/>
      <c r="S229" s="232"/>
      <c r="T229" s="232"/>
      <c r="U229" s="232"/>
      <c r="V229" s="232"/>
      <c r="W229" s="232"/>
      <c r="X229" s="232"/>
      <c r="Y229" s="232"/>
      <c r="Z229" s="232"/>
      <c r="AA229" s="232"/>
      <c r="AB229" s="232"/>
      <c r="AC229" s="232"/>
      <c r="AD229" s="232"/>
    </row>
    <row r="230" spans="11:30" x14ac:dyDescent="0.2">
      <c r="K230" s="232"/>
      <c r="L230" s="232"/>
      <c r="M230" s="232"/>
      <c r="N230" s="232"/>
      <c r="O230" s="232"/>
      <c r="P230" s="232"/>
      <c r="Q230" s="232"/>
      <c r="R230" s="232"/>
      <c r="S230" s="232"/>
      <c r="T230" s="232"/>
      <c r="U230" s="232"/>
      <c r="V230" s="232"/>
      <c r="W230" s="232"/>
      <c r="X230" s="232"/>
      <c r="Y230" s="232"/>
      <c r="Z230" s="232"/>
      <c r="AA230" s="232"/>
      <c r="AB230" s="232"/>
      <c r="AC230" s="232"/>
      <c r="AD230" s="232"/>
    </row>
    <row r="231" spans="11:30" x14ac:dyDescent="0.2">
      <c r="K231" s="232"/>
      <c r="L231" s="232"/>
      <c r="M231" s="232"/>
      <c r="N231" s="232"/>
      <c r="O231" s="232"/>
      <c r="P231" s="232"/>
      <c r="Q231" s="232"/>
      <c r="R231" s="232"/>
      <c r="S231" s="232"/>
      <c r="T231" s="232"/>
      <c r="U231" s="232"/>
      <c r="V231" s="232"/>
      <c r="W231" s="232"/>
      <c r="X231" s="232"/>
      <c r="Y231" s="232"/>
      <c r="Z231" s="232"/>
      <c r="AA231" s="232"/>
      <c r="AB231" s="232"/>
      <c r="AC231" s="232"/>
      <c r="AD231" s="232"/>
    </row>
    <row r="232" spans="11:30" x14ac:dyDescent="0.2"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  <c r="Y232" s="232"/>
      <c r="Z232" s="232"/>
      <c r="AA232" s="232"/>
      <c r="AB232" s="232"/>
      <c r="AC232" s="232"/>
      <c r="AD232" s="232"/>
    </row>
    <row r="233" spans="11:30" x14ac:dyDescent="0.2">
      <c r="K233" s="232"/>
      <c r="L233" s="232"/>
      <c r="M233" s="232"/>
      <c r="N233" s="232"/>
      <c r="O233" s="232"/>
      <c r="P233" s="232"/>
      <c r="Q233" s="232"/>
      <c r="R233" s="232"/>
      <c r="S233" s="232"/>
      <c r="T233" s="232"/>
      <c r="U233" s="232"/>
      <c r="V233" s="232"/>
      <c r="W233" s="232"/>
      <c r="X233" s="232"/>
      <c r="Y233" s="232"/>
      <c r="Z233" s="232"/>
      <c r="AA233" s="232"/>
      <c r="AB233" s="232"/>
      <c r="AC233" s="232"/>
      <c r="AD233" s="232"/>
    </row>
    <row r="234" spans="11:30" x14ac:dyDescent="0.2">
      <c r="K234" s="232"/>
      <c r="L234" s="232"/>
      <c r="M234" s="232"/>
      <c r="N234" s="232"/>
      <c r="O234" s="232"/>
      <c r="P234" s="232"/>
      <c r="Q234" s="232"/>
      <c r="R234" s="232"/>
      <c r="S234" s="232"/>
      <c r="T234" s="232"/>
      <c r="U234" s="232"/>
      <c r="V234" s="232"/>
      <c r="W234" s="232"/>
      <c r="X234" s="232"/>
      <c r="Y234" s="232"/>
      <c r="Z234" s="232"/>
      <c r="AA234" s="232"/>
      <c r="AB234" s="232"/>
      <c r="AC234" s="232"/>
      <c r="AD234" s="232"/>
    </row>
    <row r="235" spans="11:30" x14ac:dyDescent="0.2">
      <c r="K235" s="232"/>
      <c r="L235" s="232"/>
      <c r="M235" s="232"/>
      <c r="N235" s="232"/>
      <c r="O235" s="232"/>
      <c r="P235" s="232"/>
      <c r="Q235" s="232"/>
      <c r="R235" s="232"/>
      <c r="S235" s="232"/>
      <c r="T235" s="232"/>
      <c r="U235" s="232"/>
      <c r="V235" s="232"/>
      <c r="W235" s="232"/>
      <c r="X235" s="232"/>
      <c r="Y235" s="232"/>
      <c r="Z235" s="232"/>
      <c r="AA235" s="232"/>
      <c r="AB235" s="232"/>
      <c r="AC235" s="232"/>
      <c r="AD235" s="232"/>
    </row>
    <row r="236" spans="11:30" x14ac:dyDescent="0.2">
      <c r="K236" s="232"/>
      <c r="L236" s="232"/>
      <c r="M236" s="232"/>
      <c r="N236" s="232"/>
      <c r="O236" s="232"/>
      <c r="P236" s="232"/>
      <c r="Q236" s="232"/>
      <c r="R236" s="232"/>
      <c r="S236" s="232"/>
      <c r="T236" s="232"/>
      <c r="U236" s="232"/>
      <c r="V236" s="232"/>
      <c r="W236" s="232"/>
      <c r="X236" s="232"/>
      <c r="Y236" s="232"/>
      <c r="Z236" s="232"/>
      <c r="AA236" s="232"/>
      <c r="AB236" s="232"/>
      <c r="AC236" s="232"/>
      <c r="AD236" s="232"/>
    </row>
    <row r="237" spans="11:30" x14ac:dyDescent="0.2">
      <c r="K237" s="232"/>
      <c r="L237" s="232"/>
      <c r="M237" s="232"/>
      <c r="N237" s="232"/>
      <c r="O237" s="232"/>
      <c r="P237" s="232"/>
      <c r="Q237" s="232"/>
      <c r="R237" s="232"/>
      <c r="S237" s="232"/>
      <c r="T237" s="232"/>
      <c r="U237" s="232"/>
      <c r="V237" s="232"/>
      <c r="W237" s="232"/>
      <c r="X237" s="232"/>
      <c r="Y237" s="232"/>
      <c r="Z237" s="232"/>
      <c r="AA237" s="232"/>
      <c r="AB237" s="232"/>
      <c r="AC237" s="232"/>
      <c r="AD237" s="232"/>
    </row>
    <row r="238" spans="11:30" x14ac:dyDescent="0.2">
      <c r="K238" s="232"/>
      <c r="L238" s="232"/>
      <c r="M238" s="232"/>
      <c r="N238" s="232"/>
      <c r="O238" s="232"/>
      <c r="P238" s="232"/>
      <c r="Q238" s="232"/>
      <c r="R238" s="232"/>
      <c r="S238" s="232"/>
      <c r="T238" s="232"/>
      <c r="U238" s="232"/>
      <c r="V238" s="232"/>
      <c r="W238" s="232"/>
      <c r="X238" s="232"/>
      <c r="Y238" s="232"/>
      <c r="Z238" s="232"/>
      <c r="AA238" s="232"/>
      <c r="AB238" s="232"/>
      <c r="AC238" s="232"/>
      <c r="AD238" s="232"/>
    </row>
    <row r="239" spans="11:30" x14ac:dyDescent="0.2">
      <c r="K239" s="232"/>
      <c r="L239" s="232"/>
      <c r="M239" s="232"/>
      <c r="N239" s="232"/>
      <c r="O239" s="232"/>
      <c r="P239" s="232"/>
      <c r="Q239" s="232"/>
      <c r="R239" s="232"/>
      <c r="S239" s="232"/>
      <c r="T239" s="232"/>
      <c r="U239" s="232"/>
      <c r="V239" s="232"/>
      <c r="W239" s="232"/>
      <c r="X239" s="232"/>
      <c r="Y239" s="232"/>
      <c r="Z239" s="232"/>
      <c r="AA239" s="232"/>
      <c r="AB239" s="232"/>
      <c r="AC239" s="232"/>
      <c r="AD239" s="232"/>
    </row>
    <row r="240" spans="11:30" x14ac:dyDescent="0.2">
      <c r="K240" s="232"/>
      <c r="L240" s="232"/>
      <c r="M240" s="232"/>
      <c r="N240" s="232"/>
      <c r="O240" s="232"/>
      <c r="P240" s="232"/>
      <c r="Q240" s="232"/>
      <c r="R240" s="232"/>
      <c r="S240" s="232"/>
      <c r="T240" s="232"/>
      <c r="U240" s="232"/>
      <c r="V240" s="232"/>
      <c r="W240" s="232"/>
      <c r="X240" s="232"/>
      <c r="Y240" s="232"/>
      <c r="Z240" s="232"/>
      <c r="AA240" s="232"/>
      <c r="AB240" s="232"/>
      <c r="AC240" s="232"/>
      <c r="AD240" s="232"/>
    </row>
    <row r="241" spans="11:30" x14ac:dyDescent="0.2">
      <c r="K241" s="232"/>
      <c r="L241" s="232"/>
      <c r="M241" s="232"/>
      <c r="N241" s="232"/>
      <c r="O241" s="232"/>
      <c r="P241" s="232"/>
      <c r="Q241" s="232"/>
      <c r="R241" s="232"/>
      <c r="S241" s="232"/>
      <c r="T241" s="232"/>
      <c r="U241" s="232"/>
      <c r="V241" s="232"/>
      <c r="W241" s="232"/>
      <c r="X241" s="232"/>
      <c r="Y241" s="232"/>
      <c r="Z241" s="232"/>
      <c r="AA241" s="232"/>
      <c r="AB241" s="232"/>
      <c r="AC241" s="232"/>
      <c r="AD241" s="232"/>
    </row>
    <row r="242" spans="11:30" x14ac:dyDescent="0.2">
      <c r="K242" s="232"/>
      <c r="L242" s="232"/>
      <c r="M242" s="232"/>
      <c r="N242" s="232"/>
      <c r="O242" s="232"/>
      <c r="P242" s="232"/>
      <c r="Q242" s="232"/>
      <c r="R242" s="232"/>
      <c r="S242" s="232"/>
      <c r="T242" s="232"/>
      <c r="U242" s="232"/>
      <c r="V242" s="232"/>
      <c r="W242" s="232"/>
      <c r="X242" s="232"/>
      <c r="Y242" s="232"/>
      <c r="Z242" s="232"/>
      <c r="AA242" s="232"/>
      <c r="AB242" s="232"/>
      <c r="AC242" s="232"/>
      <c r="AD242" s="232"/>
    </row>
    <row r="243" spans="11:30" x14ac:dyDescent="0.2">
      <c r="K243" s="232"/>
      <c r="L243" s="232"/>
      <c r="M243" s="232"/>
      <c r="N243" s="232"/>
      <c r="O243" s="232"/>
      <c r="P243" s="232"/>
      <c r="Q243" s="232"/>
      <c r="R243" s="232"/>
      <c r="S243" s="232"/>
      <c r="T243" s="232"/>
      <c r="U243" s="232"/>
      <c r="V243" s="232"/>
      <c r="W243" s="232"/>
      <c r="X243" s="232"/>
      <c r="Y243" s="232"/>
      <c r="Z243" s="232"/>
      <c r="AA243" s="232"/>
      <c r="AB243" s="232"/>
      <c r="AC243" s="232"/>
      <c r="AD243" s="232"/>
    </row>
    <row r="244" spans="11:30" x14ac:dyDescent="0.2">
      <c r="K244" s="232"/>
      <c r="L244" s="232"/>
      <c r="M244" s="232"/>
      <c r="N244" s="232"/>
      <c r="O244" s="232"/>
      <c r="P244" s="232"/>
      <c r="Q244" s="232"/>
      <c r="R244" s="232"/>
      <c r="S244" s="232"/>
      <c r="T244" s="232"/>
      <c r="U244" s="232"/>
      <c r="V244" s="232"/>
      <c r="W244" s="232"/>
      <c r="X244" s="232"/>
      <c r="Y244" s="232"/>
      <c r="Z244" s="232"/>
      <c r="AA244" s="232"/>
      <c r="AB244" s="232"/>
      <c r="AC244" s="232"/>
      <c r="AD244" s="232"/>
    </row>
    <row r="245" spans="11:30" x14ac:dyDescent="0.2">
      <c r="K245" s="232"/>
      <c r="L245" s="232"/>
      <c r="M245" s="232"/>
      <c r="N245" s="232"/>
      <c r="O245" s="232"/>
      <c r="P245" s="232"/>
      <c r="Q245" s="232"/>
      <c r="R245" s="232"/>
      <c r="S245" s="232"/>
      <c r="T245" s="232"/>
      <c r="U245" s="232"/>
      <c r="V245" s="232"/>
      <c r="W245" s="232"/>
      <c r="X245" s="232"/>
      <c r="Y245" s="232"/>
      <c r="Z245" s="232"/>
      <c r="AA245" s="232"/>
      <c r="AB245" s="232"/>
      <c r="AC245" s="232"/>
      <c r="AD245" s="232"/>
    </row>
    <row r="246" spans="11:30" x14ac:dyDescent="0.2">
      <c r="K246" s="232"/>
      <c r="L246" s="232"/>
      <c r="M246" s="232"/>
      <c r="N246" s="232"/>
      <c r="O246" s="232"/>
      <c r="P246" s="232"/>
      <c r="Q246" s="232"/>
      <c r="R246" s="232"/>
      <c r="S246" s="232"/>
      <c r="T246" s="232"/>
      <c r="U246" s="232"/>
      <c r="V246" s="232"/>
      <c r="W246" s="232"/>
      <c r="X246" s="232"/>
      <c r="Y246" s="232"/>
      <c r="Z246" s="232"/>
      <c r="AA246" s="232"/>
      <c r="AB246" s="232"/>
      <c r="AC246" s="232"/>
      <c r="AD246" s="232"/>
    </row>
    <row r="247" spans="11:30" x14ac:dyDescent="0.2">
      <c r="K247" s="232"/>
      <c r="L247" s="232"/>
      <c r="M247" s="232"/>
      <c r="N247" s="232"/>
      <c r="O247" s="232"/>
      <c r="P247" s="232"/>
      <c r="Q247" s="232"/>
      <c r="R247" s="232"/>
      <c r="S247" s="232"/>
      <c r="T247" s="232"/>
      <c r="U247" s="232"/>
      <c r="V247" s="232"/>
      <c r="W247" s="232"/>
      <c r="X247" s="232"/>
      <c r="Y247" s="232"/>
      <c r="Z247" s="232"/>
      <c r="AA247" s="232"/>
      <c r="AB247" s="232"/>
      <c r="AC247" s="232"/>
      <c r="AD247" s="232"/>
    </row>
    <row r="248" spans="11:30" x14ac:dyDescent="0.2">
      <c r="K248" s="232"/>
      <c r="L248" s="232"/>
      <c r="M248" s="232"/>
      <c r="N248" s="232"/>
      <c r="O248" s="232"/>
      <c r="P248" s="232"/>
      <c r="Q248" s="232"/>
      <c r="R248" s="232"/>
      <c r="S248" s="232"/>
      <c r="T248" s="232"/>
      <c r="U248" s="232"/>
      <c r="V248" s="232"/>
      <c r="W248" s="232"/>
      <c r="X248" s="232"/>
      <c r="Y248" s="232"/>
      <c r="Z248" s="232"/>
      <c r="AA248" s="232"/>
      <c r="AB248" s="232"/>
      <c r="AC248" s="232"/>
      <c r="AD248" s="232"/>
    </row>
    <row r="249" spans="11:30" x14ac:dyDescent="0.2">
      <c r="K249" s="232"/>
      <c r="L249" s="232"/>
      <c r="M249" s="232"/>
      <c r="N249" s="232"/>
      <c r="O249" s="232"/>
      <c r="P249" s="232"/>
      <c r="Q249" s="232"/>
      <c r="R249" s="232"/>
      <c r="S249" s="232"/>
      <c r="T249" s="232"/>
      <c r="U249" s="232"/>
      <c r="V249" s="232"/>
      <c r="W249" s="232"/>
      <c r="X249" s="232"/>
      <c r="Y249" s="232"/>
      <c r="Z249" s="232"/>
      <c r="AA249" s="232"/>
      <c r="AB249" s="232"/>
      <c r="AC249" s="232"/>
      <c r="AD249" s="232"/>
    </row>
  </sheetData>
  <sheetProtection selectLockedCells="1"/>
  <mergeCells count="412">
    <mergeCell ref="BW121:BY121"/>
    <mergeCell ref="BW123:BZ132"/>
    <mergeCell ref="AS118:AU118"/>
    <mergeCell ref="AX118:BA118"/>
    <mergeCell ref="BC118:BF118"/>
    <mergeCell ref="BW118:BY118"/>
    <mergeCell ref="AS119:AU119"/>
    <mergeCell ref="AX119:BA119"/>
    <mergeCell ref="BC119:BF119"/>
    <mergeCell ref="BW119:BY119"/>
    <mergeCell ref="BW120:BY120"/>
    <mergeCell ref="AZ114:BA114"/>
    <mergeCell ref="BE114:BF114"/>
    <mergeCell ref="BW114:BY114"/>
    <mergeCell ref="AX115:BA115"/>
    <mergeCell ref="BC115:BF115"/>
    <mergeCell ref="BW115:BX117"/>
    <mergeCell ref="AS116:AU116"/>
    <mergeCell ref="AX116:AZ116"/>
    <mergeCell ref="BC116:BE116"/>
    <mergeCell ref="AS117:AU117"/>
    <mergeCell ref="AX117:AZ117"/>
    <mergeCell ref="BC117:BE117"/>
    <mergeCell ref="BS111:BU111"/>
    <mergeCell ref="BW111:BZ111"/>
    <mergeCell ref="AS112:AU112"/>
    <mergeCell ref="AX112:AY112"/>
    <mergeCell ref="AZ112:BA112"/>
    <mergeCell ref="BC112:BD112"/>
    <mergeCell ref="BE112:BF112"/>
    <mergeCell ref="BW112:BY112"/>
    <mergeCell ref="AS113:AU113"/>
    <mergeCell ref="AZ113:BA113"/>
    <mergeCell ref="BE113:BF113"/>
    <mergeCell ref="BW113:BY113"/>
    <mergeCell ref="AU110:AV110"/>
    <mergeCell ref="AX110:BA110"/>
    <mergeCell ref="BC110:BF110"/>
    <mergeCell ref="BH110:BK110"/>
    <mergeCell ref="AU111:AV111"/>
    <mergeCell ref="AX111:BA111"/>
    <mergeCell ref="BC111:BF111"/>
    <mergeCell ref="BN111:BO111"/>
    <mergeCell ref="BP111:BR111"/>
    <mergeCell ref="AS107:AT107"/>
    <mergeCell ref="AU107:AV107"/>
    <mergeCell ref="AX107:AY107"/>
    <mergeCell ref="AZ107:BA107"/>
    <mergeCell ref="BC107:BD107"/>
    <mergeCell ref="BE107:BF107"/>
    <mergeCell ref="BH107:BI107"/>
    <mergeCell ref="BJ107:BK107"/>
    <mergeCell ref="AS108:AT108"/>
    <mergeCell ref="AU108:AV108"/>
    <mergeCell ref="AX108:AY108"/>
    <mergeCell ref="AZ108:BA108"/>
    <mergeCell ref="BC108:BD108"/>
    <mergeCell ref="BE108:BF108"/>
    <mergeCell ref="BH108:BI108"/>
    <mergeCell ref="BJ108:BK108"/>
    <mergeCell ref="AS105:AV105"/>
    <mergeCell ref="AX105:BA105"/>
    <mergeCell ref="BC105:BF105"/>
    <mergeCell ref="BH105:BK105"/>
    <mergeCell ref="BN105:BQ105"/>
    <mergeCell ref="BR105:BU105"/>
    <mergeCell ref="BV105:BY105"/>
    <mergeCell ref="BZ105:CC105"/>
    <mergeCell ref="AS106:AT106"/>
    <mergeCell ref="AU106:AV106"/>
    <mergeCell ref="AX106:AY106"/>
    <mergeCell ref="AZ106:BA106"/>
    <mergeCell ref="BC106:BD106"/>
    <mergeCell ref="BE106:BF106"/>
    <mergeCell ref="BH106:BI106"/>
    <mergeCell ref="BJ106:BK106"/>
    <mergeCell ref="AS100:BK100"/>
    <mergeCell ref="AU102:BG103"/>
    <mergeCell ref="BH102:BI102"/>
    <mergeCell ref="BH103:BI103"/>
    <mergeCell ref="AS104:AV104"/>
    <mergeCell ref="AX104:BA104"/>
    <mergeCell ref="BC104:BF104"/>
    <mergeCell ref="BH104:BK104"/>
    <mergeCell ref="AS102:AT103"/>
    <mergeCell ref="H56:I56"/>
    <mergeCell ref="H57:I57"/>
    <mergeCell ref="H58:I58"/>
    <mergeCell ref="B35:J3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H36:I36"/>
    <mergeCell ref="H37:I37"/>
    <mergeCell ref="H38:I38"/>
    <mergeCell ref="H39:I39"/>
    <mergeCell ref="H40:I40"/>
    <mergeCell ref="B56:C56"/>
    <mergeCell ref="B57:C57"/>
    <mergeCell ref="B58:C58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F48:G48"/>
    <mergeCell ref="F49:G49"/>
    <mergeCell ref="F50:G50"/>
    <mergeCell ref="F51:G51"/>
    <mergeCell ref="F52:G52"/>
    <mergeCell ref="F53:G53"/>
    <mergeCell ref="F54:G54"/>
    <mergeCell ref="F55:G55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V4:AC4"/>
    <mergeCell ref="K4:R4"/>
    <mergeCell ref="K5:R5"/>
    <mergeCell ref="K6:R6"/>
    <mergeCell ref="K7:R7"/>
    <mergeCell ref="K8:R8"/>
    <mergeCell ref="G4:I4"/>
    <mergeCell ref="G5:I5"/>
    <mergeCell ref="G6:I6"/>
    <mergeCell ref="G7:I7"/>
    <mergeCell ref="G8:I8"/>
    <mergeCell ref="V5:AC5"/>
    <mergeCell ref="V6:AC6"/>
    <mergeCell ref="V7:AC7"/>
    <mergeCell ref="V8:AC8"/>
    <mergeCell ref="Y33:Z33"/>
    <mergeCell ref="AA33:AC33"/>
    <mergeCell ref="AD33:AF33"/>
    <mergeCell ref="AG33:AI33"/>
    <mergeCell ref="AJ33:AK33"/>
    <mergeCell ref="K33:M33"/>
    <mergeCell ref="N33:O33"/>
    <mergeCell ref="P33:R33"/>
    <mergeCell ref="S33:U33"/>
    <mergeCell ref="V33:X33"/>
    <mergeCell ref="Y32:Z32"/>
    <mergeCell ref="AA32:AC32"/>
    <mergeCell ref="AD32:AF32"/>
    <mergeCell ref="AG32:AI32"/>
    <mergeCell ref="AJ32:AK32"/>
    <mergeCell ref="K32:M32"/>
    <mergeCell ref="N32:O32"/>
    <mergeCell ref="P32:R32"/>
    <mergeCell ref="S32:U32"/>
    <mergeCell ref="V32:X32"/>
    <mergeCell ref="Y31:Z31"/>
    <mergeCell ref="AA31:AC31"/>
    <mergeCell ref="AD31:AF31"/>
    <mergeCell ref="AG31:AI31"/>
    <mergeCell ref="AJ31:AK31"/>
    <mergeCell ref="K31:M31"/>
    <mergeCell ref="N31:O31"/>
    <mergeCell ref="P31:R31"/>
    <mergeCell ref="S31:U31"/>
    <mergeCell ref="V31:X31"/>
    <mergeCell ref="Y30:Z30"/>
    <mergeCell ref="AA30:AC30"/>
    <mergeCell ref="AD30:AF30"/>
    <mergeCell ref="AG30:AI30"/>
    <mergeCell ref="AJ30:AK30"/>
    <mergeCell ref="K30:M30"/>
    <mergeCell ref="N30:O30"/>
    <mergeCell ref="P30:R30"/>
    <mergeCell ref="S30:U30"/>
    <mergeCell ref="V30:X30"/>
    <mergeCell ref="Y29:Z29"/>
    <mergeCell ref="AA29:AC29"/>
    <mergeCell ref="AD29:AF29"/>
    <mergeCell ref="AG29:AI29"/>
    <mergeCell ref="AJ29:AK29"/>
    <mergeCell ref="K29:M29"/>
    <mergeCell ref="N29:O29"/>
    <mergeCell ref="P29:R29"/>
    <mergeCell ref="S29:U29"/>
    <mergeCell ref="V29:X29"/>
    <mergeCell ref="Y28:Z28"/>
    <mergeCell ref="AA28:AC28"/>
    <mergeCell ref="AD28:AF28"/>
    <mergeCell ref="AG28:AI28"/>
    <mergeCell ref="AJ28:AK28"/>
    <mergeCell ref="K28:M28"/>
    <mergeCell ref="N28:O28"/>
    <mergeCell ref="P28:R28"/>
    <mergeCell ref="S28:U28"/>
    <mergeCell ref="V28:X28"/>
    <mergeCell ref="Y27:Z27"/>
    <mergeCell ref="AA27:AC27"/>
    <mergeCell ref="AD27:AF27"/>
    <mergeCell ref="AG27:AI27"/>
    <mergeCell ref="AJ27:AK27"/>
    <mergeCell ref="K27:M27"/>
    <mergeCell ref="N27:O27"/>
    <mergeCell ref="P27:R27"/>
    <mergeCell ref="S27:U27"/>
    <mergeCell ref="V27:X27"/>
    <mergeCell ref="Y26:Z26"/>
    <mergeCell ref="AA26:AC26"/>
    <mergeCell ref="AD26:AF26"/>
    <mergeCell ref="AG26:AI26"/>
    <mergeCell ref="AJ26:AK26"/>
    <mergeCell ref="K26:M26"/>
    <mergeCell ref="N26:O26"/>
    <mergeCell ref="P26:R26"/>
    <mergeCell ref="S26:U26"/>
    <mergeCell ref="V26:X26"/>
    <mergeCell ref="Y25:Z25"/>
    <mergeCell ref="AA25:AC25"/>
    <mergeCell ref="AD25:AF25"/>
    <mergeCell ref="AG25:AI25"/>
    <mergeCell ref="AJ25:AK25"/>
    <mergeCell ref="K25:M25"/>
    <mergeCell ref="N25:O25"/>
    <mergeCell ref="P25:R25"/>
    <mergeCell ref="S25:U25"/>
    <mergeCell ref="V25:X25"/>
    <mergeCell ref="Y24:Z24"/>
    <mergeCell ref="AA24:AC24"/>
    <mergeCell ref="AD24:AF24"/>
    <mergeCell ref="AG24:AI24"/>
    <mergeCell ref="AJ24:AK24"/>
    <mergeCell ref="K24:M24"/>
    <mergeCell ref="N24:O24"/>
    <mergeCell ref="P24:R24"/>
    <mergeCell ref="S24:U24"/>
    <mergeCell ref="V24:X24"/>
    <mergeCell ref="Y23:Z23"/>
    <mergeCell ref="AA23:AC23"/>
    <mergeCell ref="AD23:AF23"/>
    <mergeCell ref="AG23:AI23"/>
    <mergeCell ref="AJ23:AK23"/>
    <mergeCell ref="K23:M23"/>
    <mergeCell ref="N23:O23"/>
    <mergeCell ref="P23:R23"/>
    <mergeCell ref="S23:U23"/>
    <mergeCell ref="V23:X23"/>
    <mergeCell ref="Y22:Z22"/>
    <mergeCell ref="AA22:AC22"/>
    <mergeCell ref="AD22:AF22"/>
    <mergeCell ref="AG22:AI22"/>
    <mergeCell ref="AJ22:AK22"/>
    <mergeCell ref="K22:M22"/>
    <mergeCell ref="N22:O22"/>
    <mergeCell ref="P22:R22"/>
    <mergeCell ref="S22:U22"/>
    <mergeCell ref="V22:X22"/>
    <mergeCell ref="Y21:Z21"/>
    <mergeCell ref="AA21:AC21"/>
    <mergeCell ref="AD21:AF21"/>
    <mergeCell ref="AG21:AI21"/>
    <mergeCell ref="AJ21:AK21"/>
    <mergeCell ref="K21:M21"/>
    <mergeCell ref="N21:O21"/>
    <mergeCell ref="P21:R21"/>
    <mergeCell ref="S21:U21"/>
    <mergeCell ref="V21:X21"/>
    <mergeCell ref="Y20:Z20"/>
    <mergeCell ref="AA20:AC20"/>
    <mergeCell ref="AD20:AF20"/>
    <mergeCell ref="AG20:AI20"/>
    <mergeCell ref="AJ20:AK20"/>
    <mergeCell ref="K20:M20"/>
    <mergeCell ref="N20:O20"/>
    <mergeCell ref="P20:R20"/>
    <mergeCell ref="S20:U20"/>
    <mergeCell ref="V20:X20"/>
    <mergeCell ref="Y19:Z19"/>
    <mergeCell ref="AA19:AC19"/>
    <mergeCell ref="AD19:AF19"/>
    <mergeCell ref="AG19:AI19"/>
    <mergeCell ref="AJ19:AK19"/>
    <mergeCell ref="K19:M19"/>
    <mergeCell ref="N19:O19"/>
    <mergeCell ref="P19:R19"/>
    <mergeCell ref="S19:U19"/>
    <mergeCell ref="V19:X19"/>
    <mergeCell ref="Y18:Z18"/>
    <mergeCell ref="AA18:AC18"/>
    <mergeCell ref="AD18:AF18"/>
    <mergeCell ref="AG18:AI18"/>
    <mergeCell ref="AJ18:AK18"/>
    <mergeCell ref="K18:M18"/>
    <mergeCell ref="N18:O18"/>
    <mergeCell ref="P18:R18"/>
    <mergeCell ref="S18:U18"/>
    <mergeCell ref="V18:X18"/>
    <mergeCell ref="Y17:Z17"/>
    <mergeCell ref="AA17:AC17"/>
    <mergeCell ref="AD17:AF17"/>
    <mergeCell ref="AG17:AI17"/>
    <mergeCell ref="AJ17:AK17"/>
    <mergeCell ref="K17:M17"/>
    <mergeCell ref="N17:O17"/>
    <mergeCell ref="P17:R17"/>
    <mergeCell ref="S17:U17"/>
    <mergeCell ref="V17:X17"/>
    <mergeCell ref="Y16:Z16"/>
    <mergeCell ref="AA16:AC16"/>
    <mergeCell ref="AD16:AF16"/>
    <mergeCell ref="AG16:AI16"/>
    <mergeCell ref="AJ16:AK16"/>
    <mergeCell ref="K16:M16"/>
    <mergeCell ref="N16:O16"/>
    <mergeCell ref="P16:R16"/>
    <mergeCell ref="S16:U16"/>
    <mergeCell ref="V16:X16"/>
    <mergeCell ref="Y15:Z15"/>
    <mergeCell ref="AA15:AC15"/>
    <mergeCell ref="AD15:AF15"/>
    <mergeCell ref="AG15:AI15"/>
    <mergeCell ref="AJ15:AK15"/>
    <mergeCell ref="K15:M15"/>
    <mergeCell ref="N15:O15"/>
    <mergeCell ref="P15:R15"/>
    <mergeCell ref="S15:U15"/>
    <mergeCell ref="V15:X15"/>
    <mergeCell ref="S13:U13"/>
    <mergeCell ref="V13:X13"/>
    <mergeCell ref="Y14:Z14"/>
    <mergeCell ref="AA14:AC14"/>
    <mergeCell ref="AD14:AF14"/>
    <mergeCell ref="AG14:AI14"/>
    <mergeCell ref="AJ14:AK14"/>
    <mergeCell ref="K14:M14"/>
    <mergeCell ref="N14:O14"/>
    <mergeCell ref="P14:R14"/>
    <mergeCell ref="S14:U14"/>
    <mergeCell ref="V14:X14"/>
    <mergeCell ref="AS35:AV35"/>
    <mergeCell ref="E5:F5"/>
    <mergeCell ref="E6:F6"/>
    <mergeCell ref="E7:F7"/>
    <mergeCell ref="E8:F8"/>
    <mergeCell ref="K12:M12"/>
    <mergeCell ref="N12:O12"/>
    <mergeCell ref="P12:R12"/>
    <mergeCell ref="S12:U12"/>
    <mergeCell ref="S11:U11"/>
    <mergeCell ref="V12:X12"/>
    <mergeCell ref="Y12:Z12"/>
    <mergeCell ref="Y13:Z13"/>
    <mergeCell ref="AA13:AC13"/>
    <mergeCell ref="N11:O11"/>
    <mergeCell ref="P11:R11"/>
    <mergeCell ref="V11:X11"/>
    <mergeCell ref="AA12:AC12"/>
    <mergeCell ref="AD13:AF13"/>
    <mergeCell ref="AG13:AI13"/>
    <mergeCell ref="AJ13:AK13"/>
    <mergeCell ref="K13:M13"/>
    <mergeCell ref="N13:O13"/>
    <mergeCell ref="P13:R13"/>
    <mergeCell ref="B1:AO1"/>
    <mergeCell ref="F56:G56"/>
    <mergeCell ref="F57:G57"/>
    <mergeCell ref="F58:G58"/>
    <mergeCell ref="H51:I51"/>
    <mergeCell ref="H52:I52"/>
    <mergeCell ref="H53:I53"/>
    <mergeCell ref="H54:I54"/>
    <mergeCell ref="H55:I55"/>
    <mergeCell ref="B4:C4"/>
    <mergeCell ref="AL10:AO10"/>
    <mergeCell ref="AA11:AC11"/>
    <mergeCell ref="AG11:AI11"/>
    <mergeCell ref="AJ11:AK11"/>
    <mergeCell ref="E10:H10"/>
    <mergeCell ref="I10:O10"/>
    <mergeCell ref="P10:Z10"/>
    <mergeCell ref="AA10:AK10"/>
    <mergeCell ref="K11:M11"/>
    <mergeCell ref="AD11:AF11"/>
    <mergeCell ref="AD12:AF12"/>
    <mergeCell ref="AG12:AI12"/>
    <mergeCell ref="AJ12:AK12"/>
    <mergeCell ref="Y11:Z11"/>
  </mergeCells>
  <conditionalFormatting sqref="I9:J9 I34:J34 I11:K11 N11 P11 H37:H58">
    <cfRule type="dataBar" priority="21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{7B7AC87E-FEF7-4E7B-AF5D-659278A00A71}</x14:id>
        </ext>
      </extLst>
    </cfRule>
  </conditionalFormatting>
  <conditionalFormatting sqref="K35:AK36">
    <cfRule type="expression" dxfId="226" priority="217">
      <formula>K$35=TODAY()</formula>
    </cfRule>
  </conditionalFormatting>
  <conditionalFormatting sqref="K35:AK36">
    <cfRule type="expression" dxfId="225" priority="216">
      <formula>K$35=TODAY()</formula>
    </cfRule>
  </conditionalFormatting>
  <conditionalFormatting sqref="V11 Y11">
    <cfRule type="dataBar" priority="21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{08A076B4-F1A1-4B62-89B6-5C39947F7955}</x14:id>
        </ext>
      </extLst>
    </cfRule>
  </conditionalFormatting>
  <conditionalFormatting sqref="AG11 AJ11">
    <cfRule type="dataBar" priority="21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{8E76F869-CA6E-473E-97C9-B193F8538373}</x14:id>
        </ext>
      </extLst>
    </cfRule>
  </conditionalFormatting>
  <conditionalFormatting sqref="AA11">
    <cfRule type="dataBar" priority="21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{2DD344C9-3910-4F77-B0F0-C8DF1361529A}</x14:id>
        </ext>
      </extLst>
    </cfRule>
  </conditionalFormatting>
  <conditionalFormatting sqref="H12 N12:N20 Y12:Y15 AJ12:AJ15 N22:N23 N25 N27:N33 Y17:Y23 Y25:Y33 AJ17:AJ33">
    <cfRule type="containsText" dxfId="224" priority="209" operator="containsText" text="No">
      <formula>NOT(ISERROR(SEARCH("No",H12)))</formula>
    </cfRule>
    <cfRule type="containsText" dxfId="223" priority="210" operator="containsText" text="Yes">
      <formula>NOT(ISERROR(SEARCH("Yes",H12)))</formula>
    </cfRule>
    <cfRule type="containsText" dxfId="222" priority="211" operator="containsText" text="???">
      <formula>NOT(ISERROR(SEARCH("???",H12)))</formula>
    </cfRule>
  </conditionalFormatting>
  <conditionalFormatting sqref="AL12:AL33">
    <cfRule type="expression" dxfId="221" priority="208">
      <formula>FIND("Tournament",$B12) &gt;0</formula>
    </cfRule>
  </conditionalFormatting>
  <conditionalFormatting sqref="B12:K12 K13:K33 AG12:AG33 N12:N20 P12:P33 S12:S33 V12:V33 Y12:Y15 AA12:AA33 AJ12:AJ15 N22:N23 N25 N27:N33 Y17:Y23 Y25:Y33 AJ17:AJ33">
    <cfRule type="expression" dxfId="220" priority="206">
      <formula>$C12+$D12 - 1&lt;TODAY()</formula>
    </cfRule>
    <cfRule type="expression" dxfId="219" priority="207">
      <formula>$C12&gt;TODAY()</formula>
    </cfRule>
  </conditionalFormatting>
  <conditionalFormatting sqref="D5">
    <cfRule type="containsText" dxfId="218" priority="197" operator="containsText" text="Void">
      <formula>NOT(ISERROR(SEARCH("Void",D5)))</formula>
    </cfRule>
    <cfRule type="containsText" dxfId="217" priority="198" operator="containsText" text="Spirit">
      <formula>NOT(ISERROR(SEARCH("Spirit",D5)))</formula>
    </cfRule>
    <cfRule type="containsText" dxfId="216" priority="199" operator="containsText" text="Force">
      <formula>NOT(ISERROR(SEARCH("Force",D5)))</formula>
    </cfRule>
    <cfRule type="containsText" dxfId="215" priority="200" operator="containsText" text="Magic">
      <formula>NOT(ISERROR(SEARCH("Magic",D5)))</formula>
    </cfRule>
  </conditionalFormatting>
  <conditionalFormatting sqref="C5">
    <cfRule type="containsText" dxfId="214" priority="201" operator="containsText" text="Legend">
      <formula>NOT(ISERROR(SEARCH("Legend",C5)))</formula>
    </cfRule>
    <cfRule type="containsText" dxfId="213" priority="202" operator="containsText" text="Legendary">
      <formula>NOT(ISERROR(SEARCH("Legendary",C5)))</formula>
    </cfRule>
    <cfRule type="containsText" dxfId="212" priority="203" operator="containsText" text="Epic">
      <formula>NOT(ISERROR(SEARCH("Epic",C5)))</formula>
    </cfRule>
    <cfRule type="containsText" dxfId="211" priority="204" operator="containsText" text="Rare">
      <formula>NOT(ISERROR(SEARCH("Rare",C5)))</formula>
    </cfRule>
    <cfRule type="containsText" dxfId="210" priority="205" operator="containsText" text="Common">
      <formula>NOT(ISERROR(SEARCH("Common",C5)))</formula>
    </cfRule>
  </conditionalFormatting>
  <conditionalFormatting sqref="H13:H33">
    <cfRule type="containsText" dxfId="209" priority="194" operator="containsText" text="No">
      <formula>NOT(ISERROR(SEARCH("No",H13)))</formula>
    </cfRule>
    <cfRule type="containsText" dxfId="208" priority="195" operator="containsText" text="Yes">
      <formula>NOT(ISERROR(SEARCH("Yes",H13)))</formula>
    </cfRule>
    <cfRule type="containsText" dxfId="207" priority="196" operator="containsText" text="???">
      <formula>NOT(ISERROR(SEARCH("???",H13)))</formula>
    </cfRule>
  </conditionalFormatting>
  <conditionalFormatting sqref="B13:C33 E13:J33">
    <cfRule type="expression" dxfId="206" priority="192">
      <formula>$C13+$D13 - 1&lt;TODAY()</formula>
    </cfRule>
    <cfRule type="expression" dxfId="205" priority="193">
      <formula>$C13&gt;TODAY()</formula>
    </cfRule>
  </conditionalFormatting>
  <conditionalFormatting sqref="D13:D33">
    <cfRule type="expression" dxfId="204" priority="190">
      <formula>$C13+$D13 - 1&lt;TODAY()</formula>
    </cfRule>
    <cfRule type="expression" dxfId="203" priority="191">
      <formula>$C13&gt;TODAY()</formula>
    </cfRule>
  </conditionalFormatting>
  <conditionalFormatting sqref="B37:B58 D37:F58 H37:H58">
    <cfRule type="expression" dxfId="202" priority="188">
      <formula>$D37&gt;TODAY()</formula>
    </cfRule>
    <cfRule type="expression" dxfId="201" priority="189">
      <formula>$E37&lt;TODAY()</formula>
    </cfRule>
  </conditionalFormatting>
  <conditionalFormatting sqref="D6">
    <cfRule type="containsText" dxfId="200" priority="176" operator="containsText" text="Void">
      <formula>NOT(ISERROR(SEARCH("Void",D6)))</formula>
    </cfRule>
    <cfRule type="containsText" dxfId="199" priority="177" operator="containsText" text="Spirit">
      <formula>NOT(ISERROR(SEARCH("Spirit",D6)))</formula>
    </cfRule>
    <cfRule type="containsText" dxfId="198" priority="178" operator="containsText" text="Force">
      <formula>NOT(ISERROR(SEARCH("Force",D6)))</formula>
    </cfRule>
    <cfRule type="containsText" dxfId="197" priority="179" operator="containsText" text="Magic">
      <formula>NOT(ISERROR(SEARCH("Magic",D6)))</formula>
    </cfRule>
  </conditionalFormatting>
  <conditionalFormatting sqref="C6">
    <cfRule type="containsText" dxfId="196" priority="180" operator="containsText" text="Legend">
      <formula>NOT(ISERROR(SEARCH("Legend",C6)))</formula>
    </cfRule>
    <cfRule type="containsText" dxfId="195" priority="181" operator="containsText" text="Legendary">
      <formula>NOT(ISERROR(SEARCH("Legendary",C6)))</formula>
    </cfRule>
    <cfRule type="containsText" dxfId="194" priority="182" operator="containsText" text="Epic">
      <formula>NOT(ISERROR(SEARCH("Epic",C6)))</formula>
    </cfRule>
    <cfRule type="containsText" dxfId="193" priority="183" operator="containsText" text="Rare">
      <formula>NOT(ISERROR(SEARCH("Rare",C6)))</formula>
    </cfRule>
    <cfRule type="containsText" dxfId="192" priority="184" operator="containsText" text="Common">
      <formula>NOT(ISERROR(SEARCH("Common",C6)))</formula>
    </cfRule>
  </conditionalFormatting>
  <conditionalFormatting sqref="D7">
    <cfRule type="containsText" dxfId="191" priority="167" operator="containsText" text="Void">
      <formula>NOT(ISERROR(SEARCH("Void",D7)))</formula>
    </cfRule>
    <cfRule type="containsText" dxfId="190" priority="168" operator="containsText" text="Spirit">
      <formula>NOT(ISERROR(SEARCH("Spirit",D7)))</formula>
    </cfRule>
    <cfRule type="containsText" dxfId="189" priority="169" operator="containsText" text="Force">
      <formula>NOT(ISERROR(SEARCH("Force",D7)))</formula>
    </cfRule>
    <cfRule type="containsText" dxfId="188" priority="170" operator="containsText" text="Magic">
      <formula>NOT(ISERROR(SEARCH("Magic",D7)))</formula>
    </cfRule>
  </conditionalFormatting>
  <conditionalFormatting sqref="C7">
    <cfRule type="containsText" dxfId="187" priority="171" operator="containsText" text="Legend">
      <formula>NOT(ISERROR(SEARCH("Legend",C7)))</formula>
    </cfRule>
    <cfRule type="containsText" dxfId="186" priority="172" operator="containsText" text="Legendary">
      <formula>NOT(ISERROR(SEARCH("Legendary",C7)))</formula>
    </cfRule>
    <cfRule type="containsText" dxfId="185" priority="173" operator="containsText" text="Epic">
      <formula>NOT(ISERROR(SEARCH("Epic",C7)))</formula>
    </cfRule>
    <cfRule type="containsText" dxfId="184" priority="174" operator="containsText" text="Rare">
      <formula>NOT(ISERROR(SEARCH("Rare",C7)))</formula>
    </cfRule>
    <cfRule type="containsText" dxfId="183" priority="175" operator="containsText" text="Common">
      <formula>NOT(ISERROR(SEARCH("Common",C7)))</formula>
    </cfRule>
  </conditionalFormatting>
  <conditionalFormatting sqref="D8">
    <cfRule type="containsText" dxfId="182" priority="158" operator="containsText" text="Void">
      <formula>NOT(ISERROR(SEARCH("Void",D8)))</formula>
    </cfRule>
    <cfRule type="containsText" dxfId="181" priority="159" operator="containsText" text="Spirit">
      <formula>NOT(ISERROR(SEARCH("Spirit",D8)))</formula>
    </cfRule>
    <cfRule type="containsText" dxfId="180" priority="160" operator="containsText" text="Force">
      <formula>NOT(ISERROR(SEARCH("Force",D8)))</formula>
    </cfRule>
    <cfRule type="containsText" dxfId="179" priority="161" operator="containsText" text="Magic">
      <formula>NOT(ISERROR(SEARCH("Magic",D8)))</formula>
    </cfRule>
  </conditionalFormatting>
  <conditionalFormatting sqref="C8">
    <cfRule type="containsText" dxfId="178" priority="162" operator="containsText" text="Legend">
      <formula>NOT(ISERROR(SEARCH("Legend",C8)))</formula>
    </cfRule>
    <cfRule type="containsText" dxfId="177" priority="163" operator="containsText" text="Legendary">
      <formula>NOT(ISERROR(SEARCH("Legendary",C8)))</formula>
    </cfRule>
    <cfRule type="containsText" dxfId="176" priority="164" operator="containsText" text="Epic">
      <formula>NOT(ISERROR(SEARCH("Epic",C8)))</formula>
    </cfRule>
    <cfRule type="containsText" dxfId="175" priority="165" operator="containsText" text="Rare">
      <formula>NOT(ISERROR(SEARCH("Rare",C8)))</formula>
    </cfRule>
    <cfRule type="containsText" dxfId="174" priority="166" operator="containsText" text="Common">
      <formula>NOT(ISERROR(SEARCH("Common",C8)))</formula>
    </cfRule>
  </conditionalFormatting>
  <conditionalFormatting sqref="AD12:AD33">
    <cfRule type="expression" dxfId="173" priority="156">
      <formula>$C12+$D12 - 1&lt;TODAY()</formula>
    </cfRule>
    <cfRule type="expression" dxfId="172" priority="157">
      <formula>$C12&gt;TODAY()</formula>
    </cfRule>
  </conditionalFormatting>
  <conditionalFormatting sqref="AN12:AN33">
    <cfRule type="expression" dxfId="171" priority="153">
      <formula>FIND("Tournament",$B12) &gt;0</formula>
    </cfRule>
  </conditionalFormatting>
  <conditionalFormatting sqref="K37:AE58">
    <cfRule type="expression" dxfId="170" priority="143">
      <formula>K$35=TODAY()</formula>
    </cfRule>
  </conditionalFormatting>
  <conditionalFormatting sqref="K59:AD224">
    <cfRule type="expression" dxfId="169" priority="144">
      <formula>AND(NOT(ISBLANK($C59)),$C59&lt;=K$31,$D59&gt;=K$31)</formula>
    </cfRule>
    <cfRule type="expression" dxfId="168" priority="218">
      <formula>AND($C59&lt;=K$31,ROUNDDOWN(($D59-$C59+1)*$F59,0)+$C59-1&gt;=K$31)</formula>
    </cfRule>
  </conditionalFormatting>
  <conditionalFormatting sqref="K59:AD224">
    <cfRule type="expression" dxfId="167" priority="146">
      <formula>K$37=TODAY()</formula>
    </cfRule>
  </conditionalFormatting>
  <conditionalFormatting sqref="K37:AE58">
    <cfRule type="expression" dxfId="166" priority="236">
      <formula>AND($D37&lt;=K$35,ROUNDDOWN(($E37-$D37+1)*$H37,0)+$D37-1&gt;=K$35)</formula>
    </cfRule>
    <cfRule type="expression" dxfId="165" priority="237">
      <formula>AND(NOT(ISBLANK($D37)),$D37&lt;=K$35,$E37&gt;=K$35)</formula>
    </cfRule>
  </conditionalFormatting>
  <conditionalFormatting sqref="AM12:AM33 AO12:AO33">
    <cfRule type="expression" dxfId="164" priority="141">
      <formula>FIND("Tournament",$B12) &gt;0</formula>
    </cfRule>
  </conditionalFormatting>
  <conditionalFormatting sqref="BH114:BH115">
    <cfRule type="cellIs" dxfId="163" priority="103" operator="equal">
      <formula>"Void"</formula>
    </cfRule>
    <cfRule type="cellIs" dxfId="162" priority="104" operator="equal">
      <formula>"Spirit"</formula>
    </cfRule>
    <cfRule type="cellIs" dxfId="161" priority="105" operator="equal">
      <formula>"Magic"</formula>
    </cfRule>
    <cfRule type="cellIs" dxfId="160" priority="106" operator="equal">
      <formula>"Force"</formula>
    </cfRule>
  </conditionalFormatting>
  <conditionalFormatting sqref="BH103:BI103">
    <cfRule type="expression" dxfId="159" priority="9">
      <formula>AR104=1</formula>
    </cfRule>
    <cfRule type="containsText" dxfId="158" priority="137" operator="containsText" text="Void">
      <formula>NOT(ISERROR(SEARCH("Void",BH103)))</formula>
    </cfRule>
    <cfRule type="containsText" dxfId="157" priority="138" operator="containsText" text="Magic">
      <formula>NOT(ISERROR(SEARCH("Magic",BH103)))</formula>
    </cfRule>
    <cfRule type="containsText" dxfId="156" priority="139" operator="containsText" text="Spirit">
      <formula>NOT(ISERROR(SEARCH("Spirit",BH103)))</formula>
    </cfRule>
    <cfRule type="containsText" dxfId="155" priority="140" operator="containsText" text="Force">
      <formula>NOT(ISERROR(SEARCH("Force",BH103)))</formula>
    </cfRule>
  </conditionalFormatting>
  <conditionalFormatting sqref="BH112">
    <cfRule type="cellIs" dxfId="154" priority="111" operator="equal">
      <formula>"Void"</formula>
    </cfRule>
    <cfRule type="cellIs" dxfId="153" priority="112" operator="equal">
      <formula>"Spirit"</formula>
    </cfRule>
    <cfRule type="cellIs" dxfId="152" priority="113" operator="equal">
      <formula>"Magic"</formula>
    </cfRule>
    <cfRule type="cellIs" dxfId="151" priority="114" operator="equal">
      <formula>"Force"</formula>
    </cfRule>
  </conditionalFormatting>
  <conditionalFormatting sqref="BH113">
    <cfRule type="cellIs" dxfId="150" priority="107" operator="equal">
      <formula>"Void"</formula>
    </cfRule>
    <cfRule type="cellIs" dxfId="149" priority="108" operator="equal">
      <formula>"Spirit"</formula>
    </cfRule>
    <cfRule type="cellIs" dxfId="148" priority="109" operator="equal">
      <formula>"Magic"</formula>
    </cfRule>
    <cfRule type="cellIs" dxfId="147" priority="110" operator="equal">
      <formula>"Force"</formula>
    </cfRule>
  </conditionalFormatting>
  <conditionalFormatting sqref="N21">
    <cfRule type="containsText" dxfId="146" priority="87" operator="containsText" text="No">
      <formula>NOT(ISERROR(SEARCH("No",N21)))</formula>
    </cfRule>
    <cfRule type="containsText" dxfId="145" priority="88" operator="containsText" text="Yes">
      <formula>NOT(ISERROR(SEARCH("Yes",N21)))</formula>
    </cfRule>
    <cfRule type="containsText" dxfId="144" priority="89" operator="containsText" text="???">
      <formula>NOT(ISERROR(SEARCH("???",N21)))</formula>
    </cfRule>
  </conditionalFormatting>
  <conditionalFormatting sqref="N21">
    <cfRule type="expression" dxfId="143" priority="85">
      <formula>$C21+$D21 - 1&lt;TODAY()</formula>
    </cfRule>
    <cfRule type="expression" dxfId="142" priority="86">
      <formula>$C21&gt;TODAY()</formula>
    </cfRule>
  </conditionalFormatting>
  <conditionalFormatting sqref="N24">
    <cfRule type="containsText" dxfId="141" priority="82" operator="containsText" text="No">
      <formula>NOT(ISERROR(SEARCH("No",N24)))</formula>
    </cfRule>
    <cfRule type="containsText" dxfId="140" priority="83" operator="containsText" text="Yes">
      <formula>NOT(ISERROR(SEARCH("Yes",N24)))</formula>
    </cfRule>
    <cfRule type="containsText" dxfId="139" priority="84" operator="containsText" text="???">
      <formula>NOT(ISERROR(SEARCH("???",N24)))</formula>
    </cfRule>
  </conditionalFormatting>
  <conditionalFormatting sqref="N24">
    <cfRule type="expression" dxfId="138" priority="80">
      <formula>$C24+$D24 - 1&lt;TODAY()</formula>
    </cfRule>
    <cfRule type="expression" dxfId="137" priority="81">
      <formula>$C24&gt;TODAY()</formula>
    </cfRule>
  </conditionalFormatting>
  <conditionalFormatting sqref="N26">
    <cfRule type="containsText" dxfId="136" priority="77" operator="containsText" text="No">
      <formula>NOT(ISERROR(SEARCH("No",N26)))</formula>
    </cfRule>
    <cfRule type="containsText" dxfId="135" priority="78" operator="containsText" text="Yes">
      <formula>NOT(ISERROR(SEARCH("Yes",N26)))</formula>
    </cfRule>
    <cfRule type="containsText" dxfId="134" priority="79" operator="containsText" text="???">
      <formula>NOT(ISERROR(SEARCH("???",N26)))</formula>
    </cfRule>
  </conditionalFormatting>
  <conditionalFormatting sqref="N26">
    <cfRule type="expression" dxfId="133" priority="75">
      <formula>$C26+$D26 - 1&lt;TODAY()</formula>
    </cfRule>
    <cfRule type="expression" dxfId="132" priority="76">
      <formula>$C26&gt;TODAY()</formula>
    </cfRule>
  </conditionalFormatting>
  <conditionalFormatting sqref="Y24 Y16">
    <cfRule type="containsText" dxfId="131" priority="57" operator="containsText" text="No">
      <formula>NOT(ISERROR(SEARCH("No",Y16)))</formula>
    </cfRule>
    <cfRule type="containsText" dxfId="130" priority="58" operator="containsText" text="Yes">
      <formula>NOT(ISERROR(SEARCH("Yes",Y16)))</formula>
    </cfRule>
    <cfRule type="containsText" dxfId="129" priority="59" operator="containsText" text="???">
      <formula>NOT(ISERROR(SEARCH("???",Y16)))</formula>
    </cfRule>
  </conditionalFormatting>
  <conditionalFormatting sqref="Y24 Y16">
    <cfRule type="expression" dxfId="128" priority="55">
      <formula>$C16+$D16 - 1&lt;TODAY()</formula>
    </cfRule>
    <cfRule type="expression" dxfId="127" priority="56">
      <formula>$C16&gt;TODAY()</formula>
    </cfRule>
  </conditionalFormatting>
  <conditionalFormatting sqref="AJ16">
    <cfRule type="containsText" dxfId="126" priority="62" operator="containsText" text="No">
      <formula>NOT(ISERROR(SEARCH("No",AJ16)))</formula>
    </cfRule>
    <cfRule type="containsText" dxfId="125" priority="63" operator="containsText" text="Yes">
      <formula>NOT(ISERROR(SEARCH("Yes",AJ16)))</formula>
    </cfRule>
    <cfRule type="containsText" dxfId="124" priority="64" operator="containsText" text="???">
      <formula>NOT(ISERROR(SEARCH("???",AJ16)))</formula>
    </cfRule>
  </conditionalFormatting>
  <conditionalFormatting sqref="AJ16">
    <cfRule type="expression" dxfId="123" priority="60">
      <formula>$C16+$D16 - 1&lt;TODAY()</formula>
    </cfRule>
    <cfRule type="expression" dxfId="122" priority="61">
      <formula>$C16&gt;TODAY()</formula>
    </cfRule>
  </conditionalFormatting>
  <conditionalFormatting sqref="AS104:AV104 AX104:BA104 BC104:BF104 BH104:BK104">
    <cfRule type="iconSet" priority="20">
      <iconSet iconSet="3Symbols" showValue="0">
        <cfvo type="percent" val="0"/>
        <cfvo type="num" val="0.5"/>
        <cfvo type="num" val="1"/>
      </iconSet>
    </cfRule>
  </conditionalFormatting>
  <conditionalFormatting sqref="AU106:AV106 AZ106:BA106 BE106:BF106 BJ106:BK106">
    <cfRule type="containsText" dxfId="121" priority="16" operator="containsText" text="Spirit">
      <formula>NOT(ISERROR(SEARCH("Spirit",AU106)))</formula>
    </cfRule>
    <cfRule type="containsText" dxfId="120" priority="17" operator="containsText" text="Magic">
      <formula>NOT(ISERROR(SEARCH("Magic",AU106)))</formula>
    </cfRule>
    <cfRule type="containsText" dxfId="119" priority="18" operator="containsText" text="Force">
      <formula>NOT(ISERROR(SEARCH("Force",AU106)))</formula>
    </cfRule>
    <cfRule type="containsText" dxfId="118" priority="19" operator="containsText" text="Void">
      <formula>NOT(ISERROR(SEARCH("Void",AU106)))</formula>
    </cfRule>
  </conditionalFormatting>
  <conditionalFormatting sqref="AU107:AV107 AZ107:BA107 BE107:BF107 BJ107:BK107">
    <cfRule type="containsText" dxfId="117" priority="14" operator="containsText" text="50/50">
      <formula>NOT(ISERROR(SEARCH("50/50",AU107)))</formula>
    </cfRule>
  </conditionalFormatting>
  <conditionalFormatting sqref="AU108:AV108 AZ108:BA108 BE108:BF108 BJ108:BK108">
    <cfRule type="containsText" dxfId="116" priority="13" operator="containsText" text="✦✦✦✦✦">
      <formula>NOT(ISERROR(SEARCH("✦✦✦✦✦",AU108)))</formula>
    </cfRule>
  </conditionalFormatting>
  <conditionalFormatting sqref="AU102:BG103">
    <cfRule type="expression" dxfId="115" priority="11">
      <formula>AR104=1</formula>
    </cfRule>
    <cfRule type="expression" dxfId="114" priority="12">
      <formula>AR104=0</formula>
    </cfRule>
  </conditionalFormatting>
  <conditionalFormatting sqref="BH102:BI102">
    <cfRule type="expression" dxfId="113" priority="10">
      <formula>AR104=1</formula>
    </cfRule>
  </conditionalFormatting>
  <conditionalFormatting sqref="AS105:AV105">
    <cfRule type="expression" dxfId="112" priority="4">
      <formula>E5=""</formula>
    </cfRule>
    <cfRule type="expression" dxfId="111" priority="8">
      <formula>AS104=1</formula>
    </cfRule>
  </conditionalFormatting>
  <conditionalFormatting sqref="AX105:BA105">
    <cfRule type="expression" dxfId="110" priority="3">
      <formula>E6=""</formula>
    </cfRule>
    <cfRule type="expression" dxfId="109" priority="7">
      <formula>AX104=1</formula>
    </cfRule>
  </conditionalFormatting>
  <conditionalFormatting sqref="BC105:BF105">
    <cfRule type="expression" dxfId="108" priority="2">
      <formula>E7=""</formula>
    </cfRule>
    <cfRule type="expression" dxfId="107" priority="6">
      <formula>BC104=1</formula>
    </cfRule>
  </conditionalFormatting>
  <conditionalFormatting sqref="BH105:BK105">
    <cfRule type="expression" dxfId="106" priority="1">
      <formula>E8=""</formula>
    </cfRule>
    <cfRule type="expression" dxfId="105" priority="5">
      <formula>BH104=1</formula>
    </cfRule>
  </conditionalFormatting>
  <dataValidations count="13">
    <dataValidation type="list" allowBlank="1" showInputMessage="1" showErrorMessage="1" sqref="H12:H33 N12:N33 AJ12:AJ33 Y12:Y33" xr:uid="{00000000-0002-0000-0000-000000000000}">
      <formula1>"Yes, No, ???"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BH105:BK105 AX105:BA105 BC105:BF105 AS105:AV105" xr:uid="{00000000-0002-0000-0000-000001000000}">
      <formula1>ISNA(AU106)=FALSE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AU102:BG103" xr:uid="{00000000-0002-0000-0000-000002000000}">
      <formula1>ISNA(BH103)=FALSE</formula1>
    </dataValidation>
    <dataValidation type="whole" allowBlank="1" showInputMessage="1" showErrorMessage="1" errorTitle="Invalid entry" error="Full energy must be a whole, positive number and the maximum is 130._x000a_" sqref="AV119" xr:uid="{00000000-0002-0000-00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AV115" xr:uid="{00000000-0002-0000-0000-000004000000}">
      <formula1>1</formula1>
      <formula2>AV114</formula2>
    </dataValidation>
    <dataValidation type="whole" operator="greaterThan" allowBlank="1" showInputMessage="1" showErrorMessage="1" errorTitle="Invalid entry" error="Must be a whole, positive number, or left blank." sqref="AV113" xr:uid="{00000000-0002-0000-00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AV112" xr:uid="{00000000-0002-0000-0000-000006000000}">
      <formula1>0</formula1>
    </dataValidation>
    <dataValidation type="list" allowBlank="1" showInputMessage="1" showErrorMessage="1" sqref="AV114" xr:uid="{00000000-0002-0000-0000-000007000000}">
      <formula1>"4,3,2,1"</formula1>
    </dataValidation>
    <dataValidation type="list" allowBlank="1" showInputMessage="1" showErrorMessage="1" sqref="AV116:AV118" xr:uid="{00000000-0002-0000-0000-000008000000}">
      <formula1>"Off, On"</formula1>
    </dataValidation>
    <dataValidation type="list" allowBlank="1" showInputMessage="1" showErrorMessage="1" sqref="AU111" xr:uid="{00000000-0002-0000-0000-000009000000}">
      <formula1>V_Farming_Level</formula1>
    </dataValidation>
    <dataValidation type="list" allowBlank="1" showInputMessage="1" showErrorMessage="1" sqref="AU110" xr:uid="{00000000-0002-0000-0000-00000A000000}">
      <formula1>"Normal, Hard, Brutal, Nightmare"</formula1>
    </dataValidation>
    <dataValidation type="list" allowBlank="1" showInputMessage="1" showErrorMessage="1" sqref="BJ108:BK108 BE108:BF108 AZ108:BA108 AU108:AV108" xr:uid="{00000000-0002-0000-0000-00000B000000}">
      <formula1>"✦✦✦✦✦,✦✦✦✦✧,✦✦✦✧✧,✦✦✧✧✧,✦✧✧✧✧,✧✧✧✧✧"</formula1>
    </dataValidation>
    <dataValidation type="list" allowBlank="1" showInputMessage="1" showErrorMessage="1" sqref="BJ107:BK107 BE107:BF107 AZ107:BA107 AU107:AV107" xr:uid="{00000000-0002-0000-0000-00000C000000}">
      <formula1>V_CF_Dropdown_Epic</formula1>
    </dataValidation>
  </dataValidations>
  <pageMargins left="0.25" right="0.25" top="0.5" bottom="0.5" header="0.5" footer="0.25"/>
  <pageSetup scale="32" fitToHeight="0" orientation="landscape" r:id="rId1"/>
  <headerFooter alignWithMargins="0"/>
  <ignoredErrors>
    <ignoredError sqref="K35:AK3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F_Goto_Stage2">
                <anchor moveWithCells="1" sizeWithCells="1">
                  <from>
                    <xdr:col>2</xdr:col>
                    <xdr:colOff>190500</xdr:colOff>
                    <xdr:row>3</xdr:row>
                    <xdr:rowOff>19050</xdr:rowOff>
                  </from>
                  <to>
                    <xdr:col>3</xdr:col>
                    <xdr:colOff>438150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1.HF_Goto_Stage1">
                <anchor moveWithCells="1" sizeWithCells="1">
                  <from>
                    <xdr:col>44</xdr:col>
                    <xdr:colOff>257175</xdr:colOff>
                    <xdr:row>102</xdr:row>
                    <xdr:rowOff>266700</xdr:rowOff>
                  </from>
                  <to>
                    <xdr:col>45</xdr:col>
                    <xdr:colOff>419100</xdr:colOff>
                    <xdr:row>103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7AC87E-FEF7-4E7B-AF5D-659278A00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I9:J9 I34:J34 I11:K11 N11 P11 H37:H58</xm:sqref>
        </x14:conditionalFormatting>
        <x14:conditionalFormatting xmlns:xm="http://schemas.microsoft.com/office/excel/2006/main">
          <x14:cfRule type="dataBar" id="{08A076B4-F1A1-4B62-89B6-5C39947F7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 Y11</xm:sqref>
        </x14:conditionalFormatting>
        <x14:conditionalFormatting xmlns:xm="http://schemas.microsoft.com/office/excel/2006/main">
          <x14:cfRule type="dataBar" id="{8E76F869-CA6E-473E-97C9-B193F8538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AG11 AJ11</xm:sqref>
        </x14:conditionalFormatting>
        <x14:conditionalFormatting xmlns:xm="http://schemas.microsoft.com/office/excel/2006/main">
          <x14:cfRule type="dataBar" id="{2DD344C9-3910-4F77-B0F0-C8DF13615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theme="4" tint="0.39997558519241921"/>
    <pageSetUpPr fitToPage="1"/>
  </sheetPr>
  <dimension ref="B1:BI62"/>
  <sheetViews>
    <sheetView zoomScaleNormal="100" workbookViewId="0">
      <pane ySplit="5" topLeftCell="A6" activePane="bottomLeft" state="frozen"/>
      <selection pane="bottomLeft" activeCell="B8" sqref="B8"/>
    </sheetView>
  </sheetViews>
  <sheetFormatPr defaultColWidth="9.140625" defaultRowHeight="12.75" x14ac:dyDescent="0.2"/>
  <cols>
    <col min="1" max="1" width="1.28515625" style="217" customWidth="1"/>
    <col min="2" max="2" width="31.140625" style="217" bestFit="1" customWidth="1"/>
    <col min="3" max="4" width="9.7109375" style="217" bestFit="1" customWidth="1"/>
    <col min="5" max="5" width="7.85546875" style="217" bestFit="1" customWidth="1"/>
    <col min="6" max="6" width="7.140625" style="217" customWidth="1"/>
    <col min="7" max="7" width="5.42578125" style="217" customWidth="1"/>
    <col min="8" max="8" width="7.85546875" style="217" customWidth="1"/>
    <col min="9" max="29" width="2.7109375" style="217" customWidth="1"/>
    <col min="30" max="30" width="10.42578125" style="217" bestFit="1" customWidth="1"/>
    <col min="31" max="31" width="1.5703125" style="217" customWidth="1"/>
    <col min="32" max="32" width="47" style="217" hidden="1" customWidth="1"/>
    <col min="33" max="33" width="47" style="217" customWidth="1"/>
    <col min="34" max="16384" width="9.140625" style="217"/>
  </cols>
  <sheetData>
    <row r="1" spans="2:61" ht="30" customHeight="1" x14ac:dyDescent="0.2">
      <c r="B1" s="376" t="s">
        <v>333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  <c r="AB1" s="376"/>
      <c r="AC1" s="376"/>
      <c r="AD1" s="376"/>
    </row>
    <row r="2" spans="2:61" ht="4.5" customHeight="1" thickBot="1" x14ac:dyDescent="0.25">
      <c r="B2" s="218"/>
      <c r="C2" s="218"/>
      <c r="D2" s="218"/>
      <c r="E2" s="218"/>
      <c r="F2" s="218"/>
      <c r="G2" s="218"/>
      <c r="H2" s="218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</row>
    <row r="3" spans="2:61" ht="18.75" x14ac:dyDescent="0.2">
      <c r="B3" s="541"/>
      <c r="C3" s="542"/>
      <c r="D3" s="543"/>
      <c r="F3" s="401" t="s">
        <v>334</v>
      </c>
      <c r="G3" s="402"/>
      <c r="H3" s="403"/>
      <c r="K3" s="401" t="s">
        <v>335</v>
      </c>
      <c r="L3" s="402"/>
      <c r="M3" s="402"/>
      <c r="N3" s="402"/>
      <c r="O3" s="402"/>
      <c r="P3" s="402"/>
      <c r="Q3" s="402"/>
      <c r="R3" s="403"/>
      <c r="U3" s="401" t="s">
        <v>336</v>
      </c>
      <c r="V3" s="402"/>
      <c r="W3" s="402"/>
      <c r="X3" s="402"/>
      <c r="Y3" s="402"/>
      <c r="Z3" s="402"/>
      <c r="AA3" s="402"/>
      <c r="AB3" s="402"/>
      <c r="AC3" s="403"/>
    </row>
    <row r="4" spans="2:61" ht="19.5" thickBot="1" x14ac:dyDescent="0.25">
      <c r="B4" s="358"/>
      <c r="C4" s="519"/>
      <c r="D4" s="537"/>
      <c r="E4" s="228"/>
      <c r="F4" s="544">
        <f>SUM(E8:E29)+SUM(H8:H29)+SUM(N8:N29)+SUM(V8:V29)</f>
        <v>0</v>
      </c>
      <c r="G4" s="545"/>
      <c r="H4" s="546"/>
      <c r="K4" s="544">
        <f>SUMIF(G8:G29,"Yes",E8:E29)+SUMIF(L8:L29,"Yes",H8:H29)+SUMIF(T8:T29,"Yes",N8:N29)+SUMIF(AB8:AB29,"Yes",V8:V29)</f>
        <v>0</v>
      </c>
      <c r="L4" s="545"/>
      <c r="M4" s="545"/>
      <c r="N4" s="545"/>
      <c r="O4" s="545"/>
      <c r="P4" s="545"/>
      <c r="Q4" s="545"/>
      <c r="R4" s="546"/>
      <c r="T4" s="205"/>
      <c r="U4" s="544">
        <f>SUM(H33:H47)+SUM(AD8:AD29)</f>
        <v>0</v>
      </c>
      <c r="V4" s="545"/>
      <c r="W4" s="545"/>
      <c r="X4" s="545"/>
      <c r="Y4" s="545"/>
      <c r="Z4" s="545"/>
      <c r="AA4" s="545"/>
      <c r="AB4" s="545"/>
      <c r="AC4" s="546"/>
    </row>
    <row r="5" spans="2:61" ht="4.5" customHeight="1" x14ac:dyDescent="0.2">
      <c r="B5" s="227"/>
      <c r="C5" s="228"/>
      <c r="D5" s="228"/>
      <c r="E5" s="228"/>
      <c r="F5" s="227"/>
      <c r="G5" s="227"/>
      <c r="H5" s="227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</row>
    <row r="6" spans="2:61" x14ac:dyDescent="0.2">
      <c r="E6" s="384" t="s">
        <v>337</v>
      </c>
      <c r="F6" s="384"/>
      <c r="G6" s="384"/>
      <c r="H6" s="384" t="s">
        <v>338</v>
      </c>
      <c r="I6" s="384"/>
      <c r="J6" s="384"/>
      <c r="K6" s="384"/>
      <c r="L6" s="384"/>
      <c r="M6" s="384"/>
      <c r="N6" s="384" t="s">
        <v>339</v>
      </c>
      <c r="O6" s="384"/>
      <c r="P6" s="384"/>
      <c r="Q6" s="384"/>
      <c r="R6" s="384"/>
      <c r="S6" s="384"/>
      <c r="T6" s="384"/>
      <c r="U6" s="384"/>
      <c r="V6" s="384" t="s">
        <v>340</v>
      </c>
      <c r="W6" s="384"/>
      <c r="X6" s="384"/>
      <c r="Y6" s="384"/>
      <c r="Z6" s="384"/>
      <c r="AA6" s="384"/>
      <c r="AB6" s="384"/>
      <c r="AC6" s="384"/>
      <c r="AD6" s="244" t="s">
        <v>341</v>
      </c>
      <c r="AF6" s="359" t="s">
        <v>342</v>
      </c>
    </row>
    <row r="7" spans="2:61" x14ac:dyDescent="0.2">
      <c r="B7" s="229" t="s">
        <v>343</v>
      </c>
      <c r="C7" s="355" t="s">
        <v>344</v>
      </c>
      <c r="D7" s="231" t="s">
        <v>345</v>
      </c>
      <c r="E7" s="355" t="s">
        <v>346</v>
      </c>
      <c r="F7" s="355" t="s">
        <v>347</v>
      </c>
      <c r="G7" s="355" t="s">
        <v>348</v>
      </c>
      <c r="H7" s="355" t="s">
        <v>346</v>
      </c>
      <c r="I7" s="383" t="s">
        <v>347</v>
      </c>
      <c r="J7" s="383"/>
      <c r="K7" s="383"/>
      <c r="L7" s="383" t="s">
        <v>348</v>
      </c>
      <c r="M7" s="383"/>
      <c r="N7" s="383" t="s">
        <v>346</v>
      </c>
      <c r="O7" s="383"/>
      <c r="P7" s="383"/>
      <c r="Q7" s="383" t="s">
        <v>347</v>
      </c>
      <c r="R7" s="383"/>
      <c r="S7" s="383"/>
      <c r="T7" s="383" t="s">
        <v>348</v>
      </c>
      <c r="U7" s="383"/>
      <c r="V7" s="383" t="s">
        <v>346</v>
      </c>
      <c r="W7" s="383"/>
      <c r="X7" s="383"/>
      <c r="Y7" s="383" t="s">
        <v>347</v>
      </c>
      <c r="Z7" s="383"/>
      <c r="AA7" s="383"/>
      <c r="AB7" s="383" t="s">
        <v>348</v>
      </c>
      <c r="AC7" s="383"/>
      <c r="AD7" s="244" t="s">
        <v>346</v>
      </c>
      <c r="AF7" s="360" t="s">
        <v>349</v>
      </c>
    </row>
    <row r="8" spans="2:61" x14ac:dyDescent="0.2">
      <c r="B8" s="239"/>
      <c r="C8" s="234"/>
      <c r="D8" s="235"/>
      <c r="E8" s="236"/>
      <c r="F8" s="215"/>
      <c r="G8" s="373"/>
      <c r="H8" s="236"/>
      <c r="I8" s="538"/>
      <c r="J8" s="538"/>
      <c r="K8" s="538"/>
      <c r="L8" s="539"/>
      <c r="M8" s="539"/>
      <c r="N8" s="540"/>
      <c r="O8" s="540"/>
      <c r="P8" s="540"/>
      <c r="Q8" s="538"/>
      <c r="R8" s="538"/>
      <c r="S8" s="538"/>
      <c r="T8" s="539"/>
      <c r="U8" s="539"/>
      <c r="V8" s="540"/>
      <c r="W8" s="540"/>
      <c r="X8" s="540"/>
      <c r="Y8" s="538"/>
      <c r="Z8" s="538"/>
      <c r="AA8" s="538"/>
      <c r="AB8" s="539"/>
      <c r="AC8" s="539"/>
      <c r="AD8" s="374"/>
      <c r="BI8" s="361"/>
    </row>
    <row r="9" spans="2:61" x14ac:dyDescent="0.2">
      <c r="B9" s="239"/>
      <c r="C9" s="234"/>
      <c r="D9" s="235"/>
      <c r="E9" s="236"/>
      <c r="F9" s="215"/>
      <c r="G9" s="373"/>
      <c r="H9" s="236"/>
      <c r="I9" s="538"/>
      <c r="J9" s="538"/>
      <c r="K9" s="538"/>
      <c r="L9" s="539"/>
      <c r="M9" s="539"/>
      <c r="N9" s="540"/>
      <c r="O9" s="540"/>
      <c r="P9" s="540"/>
      <c r="Q9" s="538"/>
      <c r="R9" s="538"/>
      <c r="S9" s="538"/>
      <c r="T9" s="539"/>
      <c r="U9" s="539"/>
      <c r="V9" s="540"/>
      <c r="W9" s="540"/>
      <c r="X9" s="540"/>
      <c r="Y9" s="538"/>
      <c r="Z9" s="538"/>
      <c r="AA9" s="538"/>
      <c r="AB9" s="539"/>
      <c r="AC9" s="539"/>
      <c r="AD9" s="374"/>
      <c r="AF9" s="360" t="s">
        <v>352</v>
      </c>
      <c r="BI9" s="361"/>
    </row>
    <row r="10" spans="2:61" x14ac:dyDescent="0.2">
      <c r="B10" s="239"/>
      <c r="C10" s="234"/>
      <c r="D10" s="235"/>
      <c r="E10" s="236"/>
      <c r="F10" s="215"/>
      <c r="G10" s="373"/>
      <c r="H10" s="236"/>
      <c r="I10" s="538"/>
      <c r="J10" s="538"/>
      <c r="K10" s="538"/>
      <c r="L10" s="539"/>
      <c r="M10" s="539"/>
      <c r="N10" s="540"/>
      <c r="O10" s="540"/>
      <c r="P10" s="540"/>
      <c r="Q10" s="538"/>
      <c r="R10" s="538"/>
      <c r="S10" s="538"/>
      <c r="T10" s="539"/>
      <c r="U10" s="539"/>
      <c r="V10" s="540"/>
      <c r="W10" s="540"/>
      <c r="X10" s="540"/>
      <c r="Y10" s="538"/>
      <c r="Z10" s="538"/>
      <c r="AA10" s="538"/>
      <c r="AB10" s="539"/>
      <c r="AC10" s="539"/>
      <c r="AD10" s="374"/>
      <c r="AF10" s="217" t="s">
        <v>353</v>
      </c>
      <c r="BI10" s="361"/>
    </row>
    <row r="11" spans="2:61" x14ac:dyDescent="0.2">
      <c r="B11" s="239"/>
      <c r="C11" s="234"/>
      <c r="D11" s="235"/>
      <c r="E11" s="236"/>
      <c r="F11" s="215"/>
      <c r="G11" s="373"/>
      <c r="H11" s="236"/>
      <c r="I11" s="538"/>
      <c r="J11" s="538"/>
      <c r="K11" s="538"/>
      <c r="L11" s="539"/>
      <c r="M11" s="539"/>
      <c r="N11" s="540"/>
      <c r="O11" s="540"/>
      <c r="P11" s="540"/>
      <c r="Q11" s="538"/>
      <c r="R11" s="538"/>
      <c r="S11" s="538"/>
      <c r="T11" s="539"/>
      <c r="U11" s="539"/>
      <c r="V11" s="540"/>
      <c r="W11" s="540"/>
      <c r="X11" s="540"/>
      <c r="Y11" s="538"/>
      <c r="Z11" s="538"/>
      <c r="AA11" s="538"/>
      <c r="AB11" s="539"/>
      <c r="AC11" s="539"/>
      <c r="AD11" s="374"/>
      <c r="BI11" s="361"/>
    </row>
    <row r="12" spans="2:61" x14ac:dyDescent="0.2">
      <c r="B12" s="239"/>
      <c r="C12" s="234"/>
      <c r="D12" s="235"/>
      <c r="E12" s="236"/>
      <c r="F12" s="215"/>
      <c r="G12" s="373"/>
      <c r="H12" s="236"/>
      <c r="I12" s="538"/>
      <c r="J12" s="538"/>
      <c r="K12" s="538"/>
      <c r="L12" s="539"/>
      <c r="M12" s="539"/>
      <c r="N12" s="540"/>
      <c r="O12" s="540"/>
      <c r="P12" s="540"/>
      <c r="Q12" s="538"/>
      <c r="R12" s="538"/>
      <c r="S12" s="538"/>
      <c r="T12" s="539"/>
      <c r="U12" s="539"/>
      <c r="V12" s="540"/>
      <c r="W12" s="540"/>
      <c r="X12" s="540"/>
      <c r="Y12" s="538"/>
      <c r="Z12" s="538"/>
      <c r="AA12" s="538"/>
      <c r="AB12" s="539"/>
      <c r="AC12" s="539"/>
      <c r="AD12" s="374"/>
      <c r="AF12" s="360" t="s">
        <v>356</v>
      </c>
      <c r="BI12" s="361"/>
    </row>
    <row r="13" spans="2:61" x14ac:dyDescent="0.2">
      <c r="B13" s="239"/>
      <c r="C13" s="234"/>
      <c r="D13" s="235"/>
      <c r="E13" s="236"/>
      <c r="F13" s="215"/>
      <c r="G13" s="373"/>
      <c r="H13" s="236"/>
      <c r="I13" s="538"/>
      <c r="J13" s="538"/>
      <c r="K13" s="538"/>
      <c r="L13" s="539"/>
      <c r="M13" s="539"/>
      <c r="N13" s="540"/>
      <c r="O13" s="540"/>
      <c r="P13" s="540"/>
      <c r="Q13" s="538"/>
      <c r="R13" s="538"/>
      <c r="S13" s="538"/>
      <c r="T13" s="539"/>
      <c r="U13" s="539"/>
      <c r="V13" s="540"/>
      <c r="W13" s="540"/>
      <c r="X13" s="540"/>
      <c r="Y13" s="538"/>
      <c r="Z13" s="538"/>
      <c r="AA13" s="538"/>
      <c r="AB13" s="539"/>
      <c r="AC13" s="539"/>
      <c r="AD13" s="374"/>
      <c r="AF13" s="217" t="s">
        <v>358</v>
      </c>
      <c r="BI13" s="361"/>
    </row>
    <row r="14" spans="2:61" x14ac:dyDescent="0.2">
      <c r="B14" s="239"/>
      <c r="C14" s="234"/>
      <c r="D14" s="235"/>
      <c r="E14" s="236"/>
      <c r="F14" s="215"/>
      <c r="G14" s="373"/>
      <c r="H14" s="236"/>
      <c r="I14" s="538"/>
      <c r="J14" s="538"/>
      <c r="K14" s="538"/>
      <c r="L14" s="539"/>
      <c r="M14" s="539"/>
      <c r="N14" s="540"/>
      <c r="O14" s="540"/>
      <c r="P14" s="540"/>
      <c r="Q14" s="538"/>
      <c r="R14" s="538"/>
      <c r="S14" s="538"/>
      <c r="T14" s="539"/>
      <c r="U14" s="539"/>
      <c r="V14" s="540"/>
      <c r="W14" s="540"/>
      <c r="X14" s="540"/>
      <c r="Y14" s="538"/>
      <c r="Z14" s="538"/>
      <c r="AA14" s="538"/>
      <c r="AB14" s="539"/>
      <c r="AC14" s="539"/>
      <c r="AD14" s="374"/>
      <c r="BI14" s="361"/>
    </row>
    <row r="15" spans="2:61" x14ac:dyDescent="0.2">
      <c r="B15" s="239"/>
      <c r="C15" s="234"/>
      <c r="D15" s="235"/>
      <c r="E15" s="236"/>
      <c r="F15" s="215"/>
      <c r="G15" s="373"/>
      <c r="H15" s="236"/>
      <c r="I15" s="538"/>
      <c r="J15" s="538"/>
      <c r="K15" s="538"/>
      <c r="L15" s="539"/>
      <c r="M15" s="539"/>
      <c r="N15" s="540"/>
      <c r="O15" s="540"/>
      <c r="P15" s="540"/>
      <c r="Q15" s="538"/>
      <c r="R15" s="538"/>
      <c r="S15" s="538"/>
      <c r="T15" s="539"/>
      <c r="U15" s="539"/>
      <c r="V15" s="540"/>
      <c r="W15" s="540"/>
      <c r="X15" s="540"/>
      <c r="Y15" s="538"/>
      <c r="Z15" s="538"/>
      <c r="AA15" s="538"/>
      <c r="AB15" s="539"/>
      <c r="AC15" s="539"/>
      <c r="AD15" s="374"/>
      <c r="AF15" s="360" t="s">
        <v>361</v>
      </c>
      <c r="BI15" s="361"/>
    </row>
    <row r="16" spans="2:61" x14ac:dyDescent="0.2">
      <c r="B16" s="239"/>
      <c r="C16" s="234"/>
      <c r="D16" s="235"/>
      <c r="E16" s="236"/>
      <c r="F16" s="215"/>
      <c r="G16" s="373"/>
      <c r="H16" s="236"/>
      <c r="I16" s="538"/>
      <c r="J16" s="538"/>
      <c r="K16" s="538"/>
      <c r="L16" s="539"/>
      <c r="M16" s="539"/>
      <c r="N16" s="540"/>
      <c r="O16" s="540"/>
      <c r="P16" s="540"/>
      <c r="Q16" s="538"/>
      <c r="R16" s="538"/>
      <c r="S16" s="538"/>
      <c r="T16" s="539"/>
      <c r="U16" s="539"/>
      <c r="V16" s="540"/>
      <c r="W16" s="540"/>
      <c r="X16" s="540"/>
      <c r="Y16" s="538"/>
      <c r="Z16" s="538"/>
      <c r="AA16" s="538"/>
      <c r="AB16" s="539"/>
      <c r="AC16" s="539"/>
      <c r="AD16" s="374"/>
      <c r="AF16" s="217" t="s">
        <v>362</v>
      </c>
      <c r="BI16" s="361"/>
    </row>
    <row r="17" spans="2:61" x14ac:dyDescent="0.2">
      <c r="B17" s="239"/>
      <c r="C17" s="234"/>
      <c r="D17" s="235"/>
      <c r="E17" s="236"/>
      <c r="F17" s="215"/>
      <c r="G17" s="373"/>
      <c r="H17" s="236"/>
      <c r="I17" s="538"/>
      <c r="J17" s="538"/>
      <c r="K17" s="538"/>
      <c r="L17" s="539"/>
      <c r="M17" s="539"/>
      <c r="N17" s="540"/>
      <c r="O17" s="540"/>
      <c r="P17" s="540"/>
      <c r="Q17" s="538"/>
      <c r="R17" s="538"/>
      <c r="S17" s="538"/>
      <c r="T17" s="539"/>
      <c r="U17" s="539"/>
      <c r="V17" s="540"/>
      <c r="W17" s="540"/>
      <c r="X17" s="540"/>
      <c r="Y17" s="538"/>
      <c r="Z17" s="538"/>
      <c r="AA17" s="538"/>
      <c r="AB17" s="539"/>
      <c r="AC17" s="539"/>
      <c r="AD17" s="374"/>
      <c r="BI17" s="361"/>
    </row>
    <row r="18" spans="2:61" hidden="1" x14ac:dyDescent="0.2">
      <c r="B18" s="239"/>
      <c r="C18" s="234"/>
      <c r="D18" s="235"/>
      <c r="E18" s="236"/>
      <c r="F18" s="215"/>
      <c r="G18" s="373"/>
      <c r="H18" s="236"/>
      <c r="I18" s="538"/>
      <c r="J18" s="538"/>
      <c r="K18" s="538"/>
      <c r="L18" s="539"/>
      <c r="M18" s="539"/>
      <c r="N18" s="540"/>
      <c r="O18" s="540"/>
      <c r="P18" s="540"/>
      <c r="Q18" s="538"/>
      <c r="R18" s="538"/>
      <c r="S18" s="538"/>
      <c r="T18" s="539"/>
      <c r="U18" s="539"/>
      <c r="V18" s="540"/>
      <c r="W18" s="540"/>
      <c r="X18" s="540"/>
      <c r="Y18" s="538"/>
      <c r="Z18" s="538"/>
      <c r="AA18" s="538"/>
      <c r="AB18" s="539"/>
      <c r="AC18" s="539"/>
      <c r="AD18" s="374"/>
      <c r="AF18" s="360" t="s">
        <v>365</v>
      </c>
      <c r="BI18" s="361"/>
    </row>
    <row r="19" spans="2:61" hidden="1" x14ac:dyDescent="0.2">
      <c r="B19" s="239"/>
      <c r="C19" s="234"/>
      <c r="D19" s="235"/>
      <c r="E19" s="236"/>
      <c r="F19" s="215"/>
      <c r="G19" s="373"/>
      <c r="H19" s="236"/>
      <c r="I19" s="538"/>
      <c r="J19" s="538"/>
      <c r="K19" s="538"/>
      <c r="L19" s="539"/>
      <c r="M19" s="539"/>
      <c r="N19" s="540"/>
      <c r="O19" s="540"/>
      <c r="P19" s="540"/>
      <c r="Q19" s="538"/>
      <c r="R19" s="538"/>
      <c r="S19" s="538"/>
      <c r="T19" s="539"/>
      <c r="U19" s="539"/>
      <c r="V19" s="540"/>
      <c r="W19" s="540"/>
      <c r="X19" s="540"/>
      <c r="Y19" s="538"/>
      <c r="Z19" s="538"/>
      <c r="AA19" s="538"/>
      <c r="AB19" s="539"/>
      <c r="AC19" s="539"/>
      <c r="AD19" s="374"/>
      <c r="AF19" s="217" t="s">
        <v>366</v>
      </c>
      <c r="BI19" s="361"/>
    </row>
    <row r="20" spans="2:61" hidden="1" x14ac:dyDescent="0.2">
      <c r="B20" s="239"/>
      <c r="C20" s="234"/>
      <c r="D20" s="235"/>
      <c r="E20" s="236"/>
      <c r="F20" s="215"/>
      <c r="G20" s="373"/>
      <c r="H20" s="236"/>
      <c r="I20" s="538"/>
      <c r="J20" s="538"/>
      <c r="K20" s="538"/>
      <c r="L20" s="539"/>
      <c r="M20" s="539"/>
      <c r="N20" s="540"/>
      <c r="O20" s="540"/>
      <c r="P20" s="540"/>
      <c r="Q20" s="538"/>
      <c r="R20" s="538"/>
      <c r="S20" s="538"/>
      <c r="T20" s="539"/>
      <c r="U20" s="539"/>
      <c r="V20" s="540"/>
      <c r="W20" s="540"/>
      <c r="X20" s="540"/>
      <c r="Y20" s="538"/>
      <c r="Z20" s="538"/>
      <c r="AA20" s="538"/>
      <c r="AB20" s="539"/>
      <c r="AC20" s="539"/>
      <c r="AD20" s="374"/>
      <c r="AF20" s="217" t="s">
        <v>368</v>
      </c>
      <c r="BI20" s="361"/>
    </row>
    <row r="21" spans="2:61" hidden="1" x14ac:dyDescent="0.2">
      <c r="B21" s="239"/>
      <c r="C21" s="234"/>
      <c r="D21" s="235"/>
      <c r="E21" s="236"/>
      <c r="F21" s="215"/>
      <c r="G21" s="373"/>
      <c r="H21" s="236"/>
      <c r="I21" s="538"/>
      <c r="J21" s="538"/>
      <c r="K21" s="538"/>
      <c r="L21" s="539"/>
      <c r="M21" s="539"/>
      <c r="N21" s="540"/>
      <c r="O21" s="540"/>
      <c r="P21" s="540"/>
      <c r="Q21" s="538"/>
      <c r="R21" s="538"/>
      <c r="S21" s="538"/>
      <c r="T21" s="539"/>
      <c r="U21" s="539"/>
      <c r="V21" s="540"/>
      <c r="W21" s="540"/>
      <c r="X21" s="540"/>
      <c r="Y21" s="538"/>
      <c r="Z21" s="538"/>
      <c r="AA21" s="538"/>
      <c r="AB21" s="539"/>
      <c r="AC21" s="539"/>
      <c r="AD21" s="374"/>
      <c r="BI21" s="361"/>
    </row>
    <row r="22" spans="2:61" hidden="1" x14ac:dyDescent="0.2">
      <c r="B22" s="239"/>
      <c r="C22" s="234"/>
      <c r="D22" s="235"/>
      <c r="E22" s="236"/>
      <c r="F22" s="215"/>
      <c r="G22" s="373"/>
      <c r="H22" s="236"/>
      <c r="I22" s="391"/>
      <c r="J22" s="392"/>
      <c r="K22" s="393"/>
      <c r="L22" s="547"/>
      <c r="M22" s="548"/>
      <c r="N22" s="388"/>
      <c r="O22" s="389"/>
      <c r="P22" s="390"/>
      <c r="Q22" s="391"/>
      <c r="R22" s="392"/>
      <c r="S22" s="393"/>
      <c r="T22" s="547"/>
      <c r="U22" s="548"/>
      <c r="V22" s="388"/>
      <c r="W22" s="389"/>
      <c r="X22" s="390"/>
      <c r="Y22" s="391"/>
      <c r="Z22" s="392"/>
      <c r="AA22" s="393"/>
      <c r="AB22" s="547"/>
      <c r="AC22" s="548"/>
      <c r="AD22" s="374"/>
      <c r="BI22" s="361"/>
    </row>
    <row r="23" spans="2:61" hidden="1" x14ac:dyDescent="0.2">
      <c r="B23" s="239"/>
      <c r="C23" s="234"/>
      <c r="D23" s="235"/>
      <c r="E23" s="236"/>
      <c r="F23" s="215"/>
      <c r="G23" s="373"/>
      <c r="H23" s="236"/>
      <c r="I23" s="391"/>
      <c r="J23" s="392"/>
      <c r="K23" s="393"/>
      <c r="L23" s="547"/>
      <c r="M23" s="548"/>
      <c r="N23" s="388"/>
      <c r="O23" s="389"/>
      <c r="P23" s="390"/>
      <c r="Q23" s="391"/>
      <c r="R23" s="392"/>
      <c r="S23" s="393"/>
      <c r="T23" s="547"/>
      <c r="U23" s="548"/>
      <c r="V23" s="388"/>
      <c r="W23" s="389"/>
      <c r="X23" s="390"/>
      <c r="Y23" s="391"/>
      <c r="Z23" s="392"/>
      <c r="AA23" s="393"/>
      <c r="AB23" s="547"/>
      <c r="AC23" s="548"/>
      <c r="AD23" s="374"/>
      <c r="BI23" s="361"/>
    </row>
    <row r="24" spans="2:61" hidden="1" x14ac:dyDescent="0.2">
      <c r="B24" s="239"/>
      <c r="C24" s="234"/>
      <c r="D24" s="235"/>
      <c r="E24" s="236"/>
      <c r="F24" s="215"/>
      <c r="G24" s="373"/>
      <c r="H24" s="236"/>
      <c r="I24" s="391"/>
      <c r="J24" s="392"/>
      <c r="K24" s="393"/>
      <c r="L24" s="547"/>
      <c r="M24" s="548"/>
      <c r="N24" s="388"/>
      <c r="O24" s="389"/>
      <c r="P24" s="390"/>
      <c r="Q24" s="391"/>
      <c r="R24" s="392"/>
      <c r="S24" s="393"/>
      <c r="T24" s="547"/>
      <c r="U24" s="548"/>
      <c r="V24" s="388"/>
      <c r="W24" s="389"/>
      <c r="X24" s="390"/>
      <c r="Y24" s="391"/>
      <c r="Z24" s="392"/>
      <c r="AA24" s="393"/>
      <c r="AB24" s="547"/>
      <c r="AC24" s="548"/>
      <c r="AD24" s="374"/>
      <c r="BI24" s="361"/>
    </row>
    <row r="25" spans="2:61" hidden="1" x14ac:dyDescent="0.2">
      <c r="B25" s="239"/>
      <c r="C25" s="234"/>
      <c r="D25" s="235"/>
      <c r="E25" s="236"/>
      <c r="F25" s="215"/>
      <c r="G25" s="373"/>
      <c r="H25" s="236"/>
      <c r="I25" s="391"/>
      <c r="J25" s="392"/>
      <c r="K25" s="393"/>
      <c r="L25" s="547"/>
      <c r="M25" s="548"/>
      <c r="N25" s="388"/>
      <c r="O25" s="389"/>
      <c r="P25" s="390"/>
      <c r="Q25" s="391"/>
      <c r="R25" s="392"/>
      <c r="S25" s="393"/>
      <c r="T25" s="547"/>
      <c r="U25" s="548"/>
      <c r="V25" s="388"/>
      <c r="W25" s="389"/>
      <c r="X25" s="390"/>
      <c r="Y25" s="391"/>
      <c r="Z25" s="392"/>
      <c r="AA25" s="393"/>
      <c r="AB25" s="547"/>
      <c r="AC25" s="548"/>
      <c r="AD25" s="374"/>
      <c r="BI25" s="361"/>
    </row>
    <row r="26" spans="2:61" hidden="1" x14ac:dyDescent="0.2">
      <c r="B26" s="239"/>
      <c r="C26" s="234"/>
      <c r="D26" s="235"/>
      <c r="E26" s="236"/>
      <c r="F26" s="215"/>
      <c r="G26" s="373"/>
      <c r="H26" s="236"/>
      <c r="I26" s="391"/>
      <c r="J26" s="392"/>
      <c r="K26" s="393"/>
      <c r="L26" s="547"/>
      <c r="M26" s="548"/>
      <c r="N26" s="388"/>
      <c r="O26" s="389"/>
      <c r="P26" s="390"/>
      <c r="Q26" s="391"/>
      <c r="R26" s="392"/>
      <c r="S26" s="393"/>
      <c r="T26" s="547"/>
      <c r="U26" s="548"/>
      <c r="V26" s="388"/>
      <c r="W26" s="389"/>
      <c r="X26" s="390"/>
      <c r="Y26" s="391"/>
      <c r="Z26" s="392"/>
      <c r="AA26" s="393"/>
      <c r="AB26" s="547"/>
      <c r="AC26" s="548"/>
      <c r="AD26" s="374"/>
      <c r="BI26" s="361"/>
    </row>
    <row r="27" spans="2:61" hidden="1" x14ac:dyDescent="0.2">
      <c r="B27" s="239"/>
      <c r="C27" s="234"/>
      <c r="D27" s="235"/>
      <c r="E27" s="236"/>
      <c r="F27" s="215"/>
      <c r="G27" s="373"/>
      <c r="H27" s="236"/>
      <c r="I27" s="391"/>
      <c r="J27" s="392"/>
      <c r="K27" s="393"/>
      <c r="L27" s="547"/>
      <c r="M27" s="548"/>
      <c r="N27" s="388"/>
      <c r="O27" s="389"/>
      <c r="P27" s="390"/>
      <c r="Q27" s="391"/>
      <c r="R27" s="392"/>
      <c r="S27" s="393"/>
      <c r="T27" s="547"/>
      <c r="U27" s="548"/>
      <c r="V27" s="388"/>
      <c r="W27" s="389"/>
      <c r="X27" s="390"/>
      <c r="Y27" s="391"/>
      <c r="Z27" s="392"/>
      <c r="AA27" s="393"/>
      <c r="AB27" s="547"/>
      <c r="AC27" s="548"/>
      <c r="AD27" s="374"/>
      <c r="BI27" s="361"/>
    </row>
    <row r="28" spans="2:61" hidden="1" x14ac:dyDescent="0.2">
      <c r="B28" s="239"/>
      <c r="C28" s="234"/>
      <c r="D28" s="235"/>
      <c r="E28" s="236"/>
      <c r="F28" s="215"/>
      <c r="G28" s="373"/>
      <c r="H28" s="236"/>
      <c r="I28" s="391"/>
      <c r="J28" s="392"/>
      <c r="K28" s="393"/>
      <c r="L28" s="547"/>
      <c r="M28" s="548"/>
      <c r="N28" s="388"/>
      <c r="O28" s="389"/>
      <c r="P28" s="390"/>
      <c r="Q28" s="391"/>
      <c r="R28" s="392"/>
      <c r="S28" s="393"/>
      <c r="T28" s="547"/>
      <c r="U28" s="548"/>
      <c r="V28" s="388"/>
      <c r="W28" s="389"/>
      <c r="X28" s="390"/>
      <c r="Y28" s="391"/>
      <c r="Z28" s="392"/>
      <c r="AA28" s="393"/>
      <c r="AB28" s="547"/>
      <c r="AC28" s="548"/>
      <c r="AD28" s="374"/>
      <c r="BI28" s="361"/>
    </row>
    <row r="29" spans="2:61" hidden="1" x14ac:dyDescent="0.2">
      <c r="B29" s="239"/>
      <c r="C29" s="234"/>
      <c r="D29" s="235"/>
      <c r="E29" s="236"/>
      <c r="F29" s="215"/>
      <c r="G29" s="373"/>
      <c r="H29" s="236"/>
      <c r="I29" s="538"/>
      <c r="J29" s="538"/>
      <c r="K29" s="538"/>
      <c r="L29" s="539"/>
      <c r="M29" s="539"/>
      <c r="N29" s="540"/>
      <c r="O29" s="540"/>
      <c r="P29" s="540"/>
      <c r="Q29" s="538"/>
      <c r="R29" s="538"/>
      <c r="S29" s="538"/>
      <c r="T29" s="539"/>
      <c r="U29" s="539"/>
      <c r="V29" s="540"/>
      <c r="W29" s="540"/>
      <c r="X29" s="540"/>
      <c r="Y29" s="538"/>
      <c r="Z29" s="538"/>
      <c r="AA29" s="538"/>
      <c r="AB29" s="539"/>
      <c r="AC29" s="539"/>
      <c r="AD29" s="374"/>
      <c r="AF29" s="359" t="s">
        <v>370</v>
      </c>
      <c r="BI29" s="361"/>
    </row>
    <row r="30" spans="2:61" x14ac:dyDescent="0.2">
      <c r="B30" s="240"/>
      <c r="C30" s="227"/>
      <c r="D30" s="227"/>
      <c r="E30" s="227"/>
      <c r="F30" s="227"/>
      <c r="G30" s="227"/>
      <c r="H30" s="227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F30" s="217" t="s">
        <v>371</v>
      </c>
    </row>
    <row r="31" spans="2:61" s="232" customFormat="1" ht="24" customHeight="1" x14ac:dyDescent="0.2">
      <c r="B31" s="418" t="s">
        <v>372</v>
      </c>
      <c r="C31" s="418"/>
      <c r="D31" s="418"/>
      <c r="E31" s="418"/>
      <c r="F31" s="418"/>
      <c r="G31" s="418"/>
      <c r="H31" s="418"/>
      <c r="I31" s="362" t="e">
        <f>C33-WEEKDAY(C33,1)+2</f>
        <v>#VALUE!</v>
      </c>
      <c r="J31" s="363" t="e">
        <f t="shared" ref="J31:AC31" si="0">I31+1</f>
        <v>#VALUE!</v>
      </c>
      <c r="K31" s="363" t="e">
        <f t="shared" si="0"/>
        <v>#VALUE!</v>
      </c>
      <c r="L31" s="363" t="e">
        <f t="shared" si="0"/>
        <v>#VALUE!</v>
      </c>
      <c r="M31" s="363" t="e">
        <f t="shared" si="0"/>
        <v>#VALUE!</v>
      </c>
      <c r="N31" s="363" t="e">
        <f t="shared" si="0"/>
        <v>#VALUE!</v>
      </c>
      <c r="O31" s="363" t="e">
        <f t="shared" si="0"/>
        <v>#VALUE!</v>
      </c>
      <c r="P31" s="363" t="e">
        <f t="shared" si="0"/>
        <v>#VALUE!</v>
      </c>
      <c r="Q31" s="363" t="e">
        <f t="shared" si="0"/>
        <v>#VALUE!</v>
      </c>
      <c r="R31" s="363" t="e">
        <f t="shared" si="0"/>
        <v>#VALUE!</v>
      </c>
      <c r="S31" s="363" t="e">
        <f t="shared" si="0"/>
        <v>#VALUE!</v>
      </c>
      <c r="T31" s="363" t="e">
        <f t="shared" si="0"/>
        <v>#VALUE!</v>
      </c>
      <c r="U31" s="363" t="e">
        <f t="shared" si="0"/>
        <v>#VALUE!</v>
      </c>
      <c r="V31" s="363" t="e">
        <f t="shared" si="0"/>
        <v>#VALUE!</v>
      </c>
      <c r="W31" s="363" t="e">
        <f t="shared" si="0"/>
        <v>#VALUE!</v>
      </c>
      <c r="X31" s="363" t="e">
        <f t="shared" si="0"/>
        <v>#VALUE!</v>
      </c>
      <c r="Y31" s="363" t="e">
        <f t="shared" si="0"/>
        <v>#VALUE!</v>
      </c>
      <c r="Z31" s="363" t="e">
        <f t="shared" si="0"/>
        <v>#VALUE!</v>
      </c>
      <c r="AA31" s="363" t="e">
        <f t="shared" si="0"/>
        <v>#VALUE!</v>
      </c>
      <c r="AB31" s="363" t="e">
        <f t="shared" si="0"/>
        <v>#VALUE!</v>
      </c>
      <c r="AC31" s="363" t="e">
        <f t="shared" si="0"/>
        <v>#VALUE!</v>
      </c>
      <c r="AF31" s="364" t="s">
        <v>373</v>
      </c>
    </row>
    <row r="32" spans="2:61" s="232" customFormat="1" ht="25.5" x14ac:dyDescent="0.2">
      <c r="B32" s="365" t="s">
        <v>343</v>
      </c>
      <c r="C32" s="356" t="s">
        <v>344</v>
      </c>
      <c r="D32" s="356" t="s">
        <v>374</v>
      </c>
      <c r="E32" s="357" t="s">
        <v>375</v>
      </c>
      <c r="F32" s="419" t="s">
        <v>376</v>
      </c>
      <c r="G32" s="419"/>
      <c r="H32" s="354" t="s">
        <v>377</v>
      </c>
      <c r="I32" s="366" t="e">
        <f t="shared" ref="I32:AC32" si="1">CHOOSE(WEEKDAY(I31,1),"S","M","T","W","T","F","S")</f>
        <v>#VALUE!</v>
      </c>
      <c r="J32" s="367" t="e">
        <f t="shared" si="1"/>
        <v>#VALUE!</v>
      </c>
      <c r="K32" s="367" t="e">
        <f t="shared" si="1"/>
        <v>#VALUE!</v>
      </c>
      <c r="L32" s="367" t="e">
        <f t="shared" si="1"/>
        <v>#VALUE!</v>
      </c>
      <c r="M32" s="367" t="e">
        <f t="shared" si="1"/>
        <v>#VALUE!</v>
      </c>
      <c r="N32" s="367" t="e">
        <f t="shared" si="1"/>
        <v>#VALUE!</v>
      </c>
      <c r="O32" s="367" t="e">
        <f t="shared" si="1"/>
        <v>#VALUE!</v>
      </c>
      <c r="P32" s="367" t="e">
        <f t="shared" si="1"/>
        <v>#VALUE!</v>
      </c>
      <c r="Q32" s="367" t="e">
        <f t="shared" si="1"/>
        <v>#VALUE!</v>
      </c>
      <c r="R32" s="367" t="e">
        <f t="shared" si="1"/>
        <v>#VALUE!</v>
      </c>
      <c r="S32" s="367" t="e">
        <f t="shared" si="1"/>
        <v>#VALUE!</v>
      </c>
      <c r="T32" s="367" t="e">
        <f t="shared" si="1"/>
        <v>#VALUE!</v>
      </c>
      <c r="U32" s="367" t="e">
        <f t="shared" si="1"/>
        <v>#VALUE!</v>
      </c>
      <c r="V32" s="367" t="e">
        <f t="shared" si="1"/>
        <v>#VALUE!</v>
      </c>
      <c r="W32" s="367" t="e">
        <f t="shared" si="1"/>
        <v>#VALUE!</v>
      </c>
      <c r="X32" s="367" t="e">
        <f t="shared" si="1"/>
        <v>#VALUE!</v>
      </c>
      <c r="Y32" s="367" t="e">
        <f t="shared" si="1"/>
        <v>#VALUE!</v>
      </c>
      <c r="Z32" s="367" t="e">
        <f t="shared" si="1"/>
        <v>#VALUE!</v>
      </c>
      <c r="AA32" s="367" t="e">
        <f t="shared" si="1"/>
        <v>#VALUE!</v>
      </c>
      <c r="AB32" s="367" t="e">
        <f t="shared" si="1"/>
        <v>#VALUE!</v>
      </c>
      <c r="AC32" s="367" t="e">
        <f t="shared" si="1"/>
        <v>#VALUE!</v>
      </c>
      <c r="AF32" s="368" t="s">
        <v>378</v>
      </c>
    </row>
    <row r="33" spans="2:32" s="249" customFormat="1" ht="15" customHeight="1" x14ac:dyDescent="0.25">
      <c r="B33" s="369" t="str">
        <f>IF(B8="","",B8)</f>
        <v/>
      </c>
      <c r="C33" s="370" t="str">
        <f>IF(B33="","",C8)</f>
        <v/>
      </c>
      <c r="D33" s="370" t="str">
        <f>IF(ISBLANK(C33)," - ",IF(D8=0,C33,C33+D8-1))</f>
        <v/>
      </c>
      <c r="E33" s="375"/>
      <c r="F33" s="378" t="str">
        <f>IF(E33=0,"",IF(E33/MAX(F8,I8,Q8,Y8)&gt;1,1,E33/MAX(F8,I8,Q8,Y8)))</f>
        <v/>
      </c>
      <c r="G33" s="378"/>
      <c r="H33" s="251" t="str">
        <f>IF(E33=0,"",IF(E33&gt;=MAX(F8,I8,Q8,Y8),E8+H8+N8+V8,IF(E33&gt;=MAX(F8,I8,Q8),E8+H8+N8,IF(E33&gt;=MAX(F8,I8),E8+H8,IF(E33&gt;=F8,E8,"")))))</f>
        <v/>
      </c>
      <c r="I33" s="371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  <c r="U33" s="372"/>
      <c r="V33" s="372"/>
      <c r="W33" s="372"/>
      <c r="X33" s="372"/>
      <c r="Y33" s="372"/>
      <c r="Z33" s="372"/>
      <c r="AA33" s="372"/>
      <c r="AB33" s="372"/>
      <c r="AC33" s="372"/>
      <c r="AF33" s="249" t="s">
        <v>379</v>
      </c>
    </row>
    <row r="34" spans="2:32" s="249" customFormat="1" ht="15" customHeight="1" x14ac:dyDescent="0.25">
      <c r="B34" s="369" t="str">
        <f>IF(B9="","",B9)</f>
        <v/>
      </c>
      <c r="C34" s="370" t="str">
        <f>IF(B34="","",C9)</f>
        <v/>
      </c>
      <c r="D34" s="370" t="str">
        <f>IF(ISBLANK(C34)," - ",IF(D9=0,C34,C34+D9-1))</f>
        <v/>
      </c>
      <c r="E34" s="375"/>
      <c r="F34" s="378" t="str">
        <f t="shared" ref="F34:F54" si="2">IF(E34=0,"",IF(E34/MAX(F9,I9,Q9,Y9)&gt;1,1,E34/MAX(F9,I9,Q9,Y9)))</f>
        <v/>
      </c>
      <c r="G34" s="378"/>
      <c r="H34" s="251" t="str">
        <f>IF(E34=0,"",IF(E34&gt;=MAX(F9,I9,Q9,Y9),E9+H9+N9+V9,IF(E34&gt;=MAX(F9,I9,Q9),E9+H9+N9,IF(E34&gt;=MAX(F9,I9),E9+H9,IF(E34&gt;=F9,E9,"")))))</f>
        <v/>
      </c>
      <c r="I34" s="371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  <c r="AC34" s="372"/>
      <c r="AF34" s="249" t="s">
        <v>380</v>
      </c>
    </row>
    <row r="35" spans="2:32" s="249" customFormat="1" ht="15" customHeight="1" x14ac:dyDescent="0.25">
      <c r="B35" s="369" t="str">
        <f>IF(B11="","",B11)</f>
        <v/>
      </c>
      <c r="C35" s="370" t="str">
        <f>IF(B35="","",C11)</f>
        <v/>
      </c>
      <c r="D35" s="370" t="str">
        <f>IF(ISBLANK(C35)," - ",IF(D11=0,C35,C35+D11-1))</f>
        <v/>
      </c>
      <c r="E35" s="375"/>
      <c r="F35" s="378" t="str">
        <f t="shared" si="2"/>
        <v/>
      </c>
      <c r="G35" s="378"/>
      <c r="H35" s="251" t="str">
        <f>IF(E35=0,"",IF(E35&gt;=MAX(F11,I11,Q11,Y11),E11+H11+N11+V11,IF(E35&gt;=MAX(F11,I11,Q11),E11+H11+N11,IF(E35&gt;=MAX(F11,I11),E11+H11,IF(E35&gt;=F11,E11,"")))))</f>
        <v/>
      </c>
      <c r="I35" s="371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  <c r="U35" s="372"/>
      <c r="V35" s="372"/>
      <c r="W35" s="372"/>
      <c r="X35" s="372"/>
      <c r="Y35" s="372"/>
      <c r="Z35" s="372"/>
      <c r="AA35" s="372"/>
      <c r="AB35" s="372"/>
      <c r="AC35" s="372"/>
      <c r="AF35" s="249" t="s">
        <v>381</v>
      </c>
    </row>
    <row r="36" spans="2:32" s="249" customFormat="1" ht="15" customHeight="1" x14ac:dyDescent="0.25">
      <c r="B36" s="369" t="str">
        <f>IF(B10="","",B10)</f>
        <v/>
      </c>
      <c r="C36" s="370" t="str">
        <f>IF(B36="","",C10)</f>
        <v/>
      </c>
      <c r="D36" s="370" t="str">
        <f>IF(ISBLANK(C36)," - ",IF(D10=0,C36,C36+D10-1))</f>
        <v/>
      </c>
      <c r="E36" s="375"/>
      <c r="F36" s="378" t="str">
        <f t="shared" si="2"/>
        <v/>
      </c>
      <c r="G36" s="378"/>
      <c r="H36" s="251" t="str">
        <f>IF(E36=0,"",IF(E36&gt;=MAX(F10,I10,Q10,Y10),E10+H10+N10+V10,IF(E36&gt;=MAX(F10,I10,Q10),E10+H10+N10,IF(E36&gt;=MAX(F10,I10),E10+H10,IF(E36&gt;=F10,E10,"")))))</f>
        <v/>
      </c>
      <c r="I36" s="371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F36" s="249" t="s">
        <v>382</v>
      </c>
    </row>
    <row r="37" spans="2:32" s="249" customFormat="1" ht="15" customHeight="1" x14ac:dyDescent="0.25">
      <c r="B37" s="369" t="str">
        <f t="shared" ref="B37:B46" si="3">IF(B12="","",B12)</f>
        <v/>
      </c>
      <c r="C37" s="370" t="str">
        <f t="shared" ref="C37:C46" si="4">IF(B37="","",C12)</f>
        <v/>
      </c>
      <c r="D37" s="370" t="str">
        <f t="shared" ref="D37:D46" si="5">IF(ISBLANK(C37)," - ",IF(D12=0,C37,C37+D12-1))</f>
        <v/>
      </c>
      <c r="E37" s="375"/>
      <c r="F37" s="378" t="str">
        <f t="shared" si="2"/>
        <v/>
      </c>
      <c r="G37" s="378"/>
      <c r="H37" s="251" t="str">
        <f t="shared" ref="H37:H46" si="6">IF(E37=0,"",IF(E37&gt;=MAX(F12,I12,Q12,Y12),E12+H12+N12+V12,IF(E37&gt;=MAX(F12,I12,Q12),E12+H12+N12,IF(E37&gt;=MAX(F12,I12),E12+H12,IF(E37&gt;=F12,E12,"")))))</f>
        <v/>
      </c>
      <c r="I37" s="371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F37" s="249" t="s">
        <v>383</v>
      </c>
    </row>
    <row r="38" spans="2:32" s="249" customFormat="1" ht="15" customHeight="1" x14ac:dyDescent="0.25">
      <c r="B38" s="369" t="str">
        <f t="shared" si="3"/>
        <v/>
      </c>
      <c r="C38" s="370" t="str">
        <f t="shared" si="4"/>
        <v/>
      </c>
      <c r="D38" s="370" t="str">
        <f t="shared" si="5"/>
        <v/>
      </c>
      <c r="E38" s="375"/>
      <c r="F38" s="378" t="str">
        <f t="shared" si="2"/>
        <v/>
      </c>
      <c r="G38" s="378"/>
      <c r="H38" s="251" t="str">
        <f t="shared" si="6"/>
        <v/>
      </c>
      <c r="I38" s="371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F38" s="249" t="s">
        <v>384</v>
      </c>
    </row>
    <row r="39" spans="2:32" s="249" customFormat="1" ht="15" customHeight="1" x14ac:dyDescent="0.25">
      <c r="B39" s="369" t="str">
        <f t="shared" si="3"/>
        <v/>
      </c>
      <c r="C39" s="370" t="str">
        <f t="shared" si="4"/>
        <v/>
      </c>
      <c r="D39" s="370" t="str">
        <f t="shared" si="5"/>
        <v/>
      </c>
      <c r="E39" s="375"/>
      <c r="F39" s="378" t="str">
        <f t="shared" si="2"/>
        <v/>
      </c>
      <c r="G39" s="378"/>
      <c r="H39" s="251" t="str">
        <f t="shared" si="6"/>
        <v/>
      </c>
      <c r="I39" s="371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F39" s="253" t="s">
        <v>385</v>
      </c>
    </row>
    <row r="40" spans="2:32" s="249" customFormat="1" ht="15" customHeight="1" x14ac:dyDescent="0.25">
      <c r="B40" s="369" t="str">
        <f t="shared" si="3"/>
        <v/>
      </c>
      <c r="C40" s="370" t="str">
        <f t="shared" si="4"/>
        <v/>
      </c>
      <c r="D40" s="370" t="str">
        <f t="shared" si="5"/>
        <v/>
      </c>
      <c r="E40" s="375"/>
      <c r="F40" s="378" t="str">
        <f t="shared" si="2"/>
        <v/>
      </c>
      <c r="G40" s="378"/>
      <c r="H40" s="251" t="str">
        <f t="shared" si="6"/>
        <v/>
      </c>
      <c r="I40" s="371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</row>
    <row r="41" spans="2:32" s="253" customFormat="1" ht="15" customHeight="1" x14ac:dyDescent="0.25">
      <c r="B41" s="369" t="str">
        <f t="shared" si="3"/>
        <v/>
      </c>
      <c r="C41" s="370" t="str">
        <f t="shared" si="4"/>
        <v/>
      </c>
      <c r="D41" s="370" t="str">
        <f t="shared" si="5"/>
        <v/>
      </c>
      <c r="E41" s="375"/>
      <c r="F41" s="378" t="str">
        <f t="shared" si="2"/>
        <v/>
      </c>
      <c r="G41" s="378"/>
      <c r="H41" s="251" t="str">
        <f t="shared" si="6"/>
        <v/>
      </c>
      <c r="I41" s="371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</row>
    <row r="42" spans="2:32" s="253" customFormat="1" ht="15" customHeight="1" x14ac:dyDescent="0.25">
      <c r="B42" s="369" t="str">
        <f t="shared" si="3"/>
        <v/>
      </c>
      <c r="C42" s="370" t="str">
        <f t="shared" si="4"/>
        <v/>
      </c>
      <c r="D42" s="370" t="str">
        <f t="shared" si="5"/>
        <v/>
      </c>
      <c r="E42" s="375"/>
      <c r="F42" s="378" t="str">
        <f t="shared" si="2"/>
        <v/>
      </c>
      <c r="G42" s="378"/>
      <c r="H42" s="251" t="str">
        <f t="shared" si="6"/>
        <v/>
      </c>
      <c r="I42" s="371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</row>
    <row r="43" spans="2:32" s="254" customFormat="1" ht="15" hidden="1" customHeight="1" x14ac:dyDescent="0.2">
      <c r="B43" s="369" t="str">
        <f t="shared" si="3"/>
        <v/>
      </c>
      <c r="C43" s="370" t="str">
        <f t="shared" si="4"/>
        <v/>
      </c>
      <c r="D43" s="370" t="str">
        <f t="shared" si="5"/>
        <v/>
      </c>
      <c r="E43" s="375"/>
      <c r="F43" s="378" t="str">
        <f t="shared" si="2"/>
        <v/>
      </c>
      <c r="G43" s="378"/>
      <c r="H43" s="251" t="str">
        <f t="shared" si="6"/>
        <v/>
      </c>
      <c r="I43" s="371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  <c r="U43" s="372"/>
      <c r="V43" s="372"/>
      <c r="W43" s="372"/>
      <c r="X43" s="372"/>
      <c r="Y43" s="372"/>
      <c r="Z43" s="372"/>
      <c r="AA43" s="372"/>
      <c r="AB43" s="372"/>
      <c r="AC43" s="372"/>
    </row>
    <row r="44" spans="2:32" s="254" customFormat="1" ht="15" hidden="1" customHeight="1" x14ac:dyDescent="0.2">
      <c r="B44" s="369" t="str">
        <f t="shared" si="3"/>
        <v/>
      </c>
      <c r="C44" s="370" t="str">
        <f t="shared" si="4"/>
        <v/>
      </c>
      <c r="D44" s="370" t="str">
        <f t="shared" si="5"/>
        <v/>
      </c>
      <c r="E44" s="375"/>
      <c r="F44" s="378" t="str">
        <f t="shared" si="2"/>
        <v/>
      </c>
      <c r="G44" s="378"/>
      <c r="H44" s="251" t="str">
        <f t="shared" si="6"/>
        <v/>
      </c>
      <c r="I44" s="371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</row>
    <row r="45" spans="2:32" s="254" customFormat="1" ht="15" hidden="1" customHeight="1" x14ac:dyDescent="0.2">
      <c r="B45" s="369" t="str">
        <f t="shared" si="3"/>
        <v/>
      </c>
      <c r="C45" s="370" t="str">
        <f t="shared" si="4"/>
        <v/>
      </c>
      <c r="D45" s="370" t="str">
        <f t="shared" si="5"/>
        <v/>
      </c>
      <c r="E45" s="375"/>
      <c r="F45" s="378" t="str">
        <f t="shared" si="2"/>
        <v/>
      </c>
      <c r="G45" s="378"/>
      <c r="H45" s="251" t="str">
        <f t="shared" si="6"/>
        <v/>
      </c>
      <c r="I45" s="371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</row>
    <row r="46" spans="2:32" s="254" customFormat="1" ht="15" hidden="1" customHeight="1" x14ac:dyDescent="0.2">
      <c r="B46" s="369" t="str">
        <f t="shared" si="3"/>
        <v/>
      </c>
      <c r="C46" s="370" t="str">
        <f t="shared" si="4"/>
        <v/>
      </c>
      <c r="D46" s="370" t="str">
        <f t="shared" si="5"/>
        <v/>
      </c>
      <c r="E46" s="375"/>
      <c r="F46" s="378" t="str">
        <f t="shared" si="2"/>
        <v/>
      </c>
      <c r="G46" s="378"/>
      <c r="H46" s="251" t="str">
        <f t="shared" si="6"/>
        <v/>
      </c>
      <c r="I46" s="371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</row>
    <row r="47" spans="2:32" s="254" customFormat="1" ht="15" hidden="1" customHeight="1" x14ac:dyDescent="0.2">
      <c r="B47" s="369" t="str">
        <f t="shared" ref="B47:B54" si="7">IF(B22="","",B22)</f>
        <v/>
      </c>
      <c r="C47" s="370" t="str">
        <f t="shared" ref="C47:C54" si="8">IF(B47="","",C22)</f>
        <v/>
      </c>
      <c r="D47" s="370" t="str">
        <f t="shared" ref="D47:D54" si="9">IF(ISBLANK(C47)," - ",IF(D22=0,C47,C47+D22-1))</f>
        <v/>
      </c>
      <c r="E47" s="375"/>
      <c r="F47" s="378" t="str">
        <f t="shared" si="2"/>
        <v/>
      </c>
      <c r="G47" s="378"/>
      <c r="H47" s="251" t="str">
        <f t="shared" ref="H47" si="10">IF(E47=0,"",IF(E47&gt;=MAX(F29,I29,Q29,Y29),E29+H29+N29+V29,IF(E47&gt;=MAX(F29,I29,Q29),E29+H29+N29,IF(E47&gt;=MAX(F29,I29),E29+H29,IF(E47&gt;=F29,E29,"")))))</f>
        <v/>
      </c>
      <c r="I47" s="371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</row>
    <row r="48" spans="2:32" s="254" customFormat="1" ht="15" hidden="1" customHeight="1" x14ac:dyDescent="0.2">
      <c r="B48" s="369" t="str">
        <f t="shared" si="7"/>
        <v/>
      </c>
      <c r="C48" s="370" t="str">
        <f t="shared" si="8"/>
        <v/>
      </c>
      <c r="D48" s="370" t="str">
        <f t="shared" si="9"/>
        <v/>
      </c>
      <c r="E48" s="375"/>
      <c r="F48" s="378" t="str">
        <f t="shared" si="2"/>
        <v/>
      </c>
      <c r="G48" s="378"/>
      <c r="H48" s="251" t="str">
        <f t="shared" ref="H48:H54" si="11">IF(E48=0,"",IF(E48&gt;=MAX(F30,I30,Q30,Y30),E30+H30+N30+V30,IF(E48&gt;=MAX(F30,I30,Q30),E30+H30+N30,IF(E48&gt;=MAX(F30,I30),E30+H30,IF(E48&gt;=F30,E30,"")))))</f>
        <v/>
      </c>
      <c r="I48" s="371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</row>
    <row r="49" spans="2:29" s="254" customFormat="1" ht="15" hidden="1" customHeight="1" x14ac:dyDescent="0.2">
      <c r="B49" s="369" t="str">
        <f t="shared" si="7"/>
        <v/>
      </c>
      <c r="C49" s="370" t="str">
        <f t="shared" si="8"/>
        <v/>
      </c>
      <c r="D49" s="370" t="str">
        <f t="shared" si="9"/>
        <v/>
      </c>
      <c r="E49" s="375"/>
      <c r="F49" s="378" t="str">
        <f t="shared" si="2"/>
        <v/>
      </c>
      <c r="G49" s="378"/>
      <c r="H49" s="251" t="str">
        <f t="shared" si="11"/>
        <v/>
      </c>
      <c r="I49" s="371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</row>
    <row r="50" spans="2:29" s="254" customFormat="1" ht="15" hidden="1" customHeight="1" x14ac:dyDescent="0.2">
      <c r="B50" s="369" t="str">
        <f t="shared" si="7"/>
        <v/>
      </c>
      <c r="C50" s="370" t="str">
        <f t="shared" si="8"/>
        <v/>
      </c>
      <c r="D50" s="370" t="str">
        <f t="shared" si="9"/>
        <v/>
      </c>
      <c r="E50" s="375"/>
      <c r="F50" s="378" t="str">
        <f t="shared" si="2"/>
        <v/>
      </c>
      <c r="G50" s="378"/>
      <c r="H50" s="251" t="str">
        <f t="shared" si="11"/>
        <v/>
      </c>
      <c r="I50" s="371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</row>
    <row r="51" spans="2:29" s="254" customFormat="1" ht="15" hidden="1" customHeight="1" x14ac:dyDescent="0.2">
      <c r="B51" s="369" t="str">
        <f t="shared" si="7"/>
        <v/>
      </c>
      <c r="C51" s="370" t="str">
        <f t="shared" si="8"/>
        <v/>
      </c>
      <c r="D51" s="370" t="str">
        <f t="shared" si="9"/>
        <v/>
      </c>
      <c r="E51" s="375"/>
      <c r="F51" s="378" t="str">
        <f t="shared" si="2"/>
        <v/>
      </c>
      <c r="G51" s="378"/>
      <c r="H51" s="251" t="str">
        <f t="shared" si="11"/>
        <v/>
      </c>
      <c r="I51" s="371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</row>
    <row r="52" spans="2:29" s="254" customFormat="1" ht="15" hidden="1" customHeight="1" x14ac:dyDescent="0.2">
      <c r="B52" s="369" t="str">
        <f t="shared" si="7"/>
        <v/>
      </c>
      <c r="C52" s="370" t="str">
        <f t="shared" si="8"/>
        <v/>
      </c>
      <c r="D52" s="370" t="str">
        <f t="shared" si="9"/>
        <v/>
      </c>
      <c r="E52" s="375"/>
      <c r="F52" s="378" t="str">
        <f t="shared" si="2"/>
        <v/>
      </c>
      <c r="G52" s="378"/>
      <c r="H52" s="251" t="str">
        <f t="shared" si="11"/>
        <v/>
      </c>
      <c r="I52" s="371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  <c r="U52" s="372"/>
      <c r="V52" s="372"/>
      <c r="W52" s="372"/>
      <c r="X52" s="372"/>
      <c r="Y52" s="372"/>
      <c r="Z52" s="372"/>
      <c r="AA52" s="372"/>
      <c r="AB52" s="372"/>
      <c r="AC52" s="372"/>
    </row>
    <row r="53" spans="2:29" s="254" customFormat="1" ht="15" hidden="1" customHeight="1" x14ac:dyDescent="0.2">
      <c r="B53" s="369" t="str">
        <f t="shared" si="7"/>
        <v/>
      </c>
      <c r="C53" s="370" t="str">
        <f t="shared" si="8"/>
        <v/>
      </c>
      <c r="D53" s="370" t="str">
        <f t="shared" si="9"/>
        <v/>
      </c>
      <c r="E53" s="375"/>
      <c r="F53" s="378" t="str">
        <f t="shared" si="2"/>
        <v/>
      </c>
      <c r="G53" s="378"/>
      <c r="H53" s="251" t="str">
        <f t="shared" si="11"/>
        <v/>
      </c>
      <c r="I53" s="371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</row>
    <row r="54" spans="2:29" s="254" customFormat="1" ht="15" hidden="1" customHeight="1" x14ac:dyDescent="0.2">
      <c r="B54" s="369" t="str">
        <f t="shared" si="7"/>
        <v/>
      </c>
      <c r="C54" s="370" t="str">
        <f t="shared" si="8"/>
        <v/>
      </c>
      <c r="D54" s="370" t="str">
        <f t="shared" si="9"/>
        <v/>
      </c>
      <c r="E54" s="375"/>
      <c r="F54" s="378" t="str">
        <f t="shared" si="2"/>
        <v/>
      </c>
      <c r="G54" s="378"/>
      <c r="H54" s="251" t="str">
        <f t="shared" si="11"/>
        <v/>
      </c>
      <c r="I54" s="371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</row>
    <row r="55" spans="2:29" s="254" customFormat="1" ht="12" x14ac:dyDescent="0.2">
      <c r="B55" s="258"/>
    </row>
    <row r="56" spans="2:29" s="261" customFormat="1" ht="12" x14ac:dyDescent="0.2">
      <c r="B56" s="260"/>
    </row>
    <row r="57" spans="2:29" s="261" customFormat="1" ht="12" x14ac:dyDescent="0.2">
      <c r="B57" s="260"/>
    </row>
    <row r="58" spans="2:29" s="261" customFormat="1" ht="12" x14ac:dyDescent="0.2"/>
    <row r="59" spans="2:29" s="261" customFormat="1" ht="12" x14ac:dyDescent="0.2"/>
    <row r="60" spans="2:29" s="261" customFormat="1" ht="12" x14ac:dyDescent="0.2"/>
    <row r="61" spans="2:29" s="261" customFormat="1" ht="12" x14ac:dyDescent="0.2"/>
    <row r="62" spans="2:29" s="261" customFormat="1" ht="12" x14ac:dyDescent="0.2"/>
  </sheetData>
  <dataConsolidate/>
  <mergeCells count="221">
    <mergeCell ref="F53:G53"/>
    <mergeCell ref="F54:G54"/>
    <mergeCell ref="Y28:AA28"/>
    <mergeCell ref="AB26:AC26"/>
    <mergeCell ref="AB27:AC27"/>
    <mergeCell ref="AB28:AC28"/>
    <mergeCell ref="F48:G48"/>
    <mergeCell ref="F49:G49"/>
    <mergeCell ref="F50:G50"/>
    <mergeCell ref="F51:G51"/>
    <mergeCell ref="F52:G52"/>
    <mergeCell ref="B31:H31"/>
    <mergeCell ref="F32:G32"/>
    <mergeCell ref="F33:G33"/>
    <mergeCell ref="F34:G34"/>
    <mergeCell ref="F35:G35"/>
    <mergeCell ref="F36:G36"/>
    <mergeCell ref="F43:G43"/>
    <mergeCell ref="F44:G44"/>
    <mergeCell ref="F45:G45"/>
    <mergeCell ref="F46:G46"/>
    <mergeCell ref="F47:G47"/>
    <mergeCell ref="F37:G37"/>
    <mergeCell ref="T26:U26"/>
    <mergeCell ref="T27:U27"/>
    <mergeCell ref="T28:U28"/>
    <mergeCell ref="V22:X22"/>
    <mergeCell ref="Y22:AA22"/>
    <mergeCell ref="AB22:AC22"/>
    <mergeCell ref="V23:X23"/>
    <mergeCell ref="Y23:AA23"/>
    <mergeCell ref="AB23:AC23"/>
    <mergeCell ref="V24:X24"/>
    <mergeCell ref="Y24:AA24"/>
    <mergeCell ref="AB24:AC24"/>
    <mergeCell ref="V25:X25"/>
    <mergeCell ref="Y25:AA25"/>
    <mergeCell ref="AB25:AC25"/>
    <mergeCell ref="V26:X26"/>
    <mergeCell ref="V27:X27"/>
    <mergeCell ref="V28:X28"/>
    <mergeCell ref="Y26:AA26"/>
    <mergeCell ref="Y27:AA27"/>
    <mergeCell ref="T23:U23"/>
    <mergeCell ref="T24:U24"/>
    <mergeCell ref="T25:U25"/>
    <mergeCell ref="N26:P26"/>
    <mergeCell ref="N27:P27"/>
    <mergeCell ref="Q22:S22"/>
    <mergeCell ref="N28:P28"/>
    <mergeCell ref="Q23:S23"/>
    <mergeCell ref="Q24:S24"/>
    <mergeCell ref="Q25:S25"/>
    <mergeCell ref="Q26:S26"/>
    <mergeCell ref="Q27:S27"/>
    <mergeCell ref="Q28:S28"/>
    <mergeCell ref="N23:P23"/>
    <mergeCell ref="N24:P24"/>
    <mergeCell ref="N25:P25"/>
    <mergeCell ref="I26:K26"/>
    <mergeCell ref="I27:K27"/>
    <mergeCell ref="I28:K28"/>
    <mergeCell ref="L22:M22"/>
    <mergeCell ref="L23:M23"/>
    <mergeCell ref="L24:M24"/>
    <mergeCell ref="L25:M25"/>
    <mergeCell ref="L26:M26"/>
    <mergeCell ref="L27:M27"/>
    <mergeCell ref="L28:M28"/>
    <mergeCell ref="I25:K25"/>
    <mergeCell ref="B1:AD1"/>
    <mergeCell ref="B3:D3"/>
    <mergeCell ref="F3:H3"/>
    <mergeCell ref="K3:R3"/>
    <mergeCell ref="U3:AC3"/>
    <mergeCell ref="F4:H4"/>
    <mergeCell ref="K4:R4"/>
    <mergeCell ref="U4:AC4"/>
    <mergeCell ref="I22:K22"/>
    <mergeCell ref="N22:P22"/>
    <mergeCell ref="T22:U22"/>
    <mergeCell ref="E6:G6"/>
    <mergeCell ref="H6:M6"/>
    <mergeCell ref="N6:U6"/>
    <mergeCell ref="V6:AC6"/>
    <mergeCell ref="I7:K7"/>
    <mergeCell ref="L7:M7"/>
    <mergeCell ref="N7:P7"/>
    <mergeCell ref="Q7:S7"/>
    <mergeCell ref="T7:U7"/>
    <mergeCell ref="V7:X7"/>
    <mergeCell ref="Y7:AA7"/>
    <mergeCell ref="AB7:AC7"/>
    <mergeCell ref="I8:K8"/>
    <mergeCell ref="L8:M8"/>
    <mergeCell ref="N8:P8"/>
    <mergeCell ref="Q8:S8"/>
    <mergeCell ref="T8:U8"/>
    <mergeCell ref="V8:X8"/>
    <mergeCell ref="Y8:AA8"/>
    <mergeCell ref="AB8:AC8"/>
    <mergeCell ref="Y9:AA9"/>
    <mergeCell ref="AB9:AC9"/>
    <mergeCell ref="I10:K10"/>
    <mergeCell ref="L10:M10"/>
    <mergeCell ref="N10:P10"/>
    <mergeCell ref="Q10:S10"/>
    <mergeCell ref="T10:U10"/>
    <mergeCell ref="V10:X10"/>
    <mergeCell ref="Y10:AA10"/>
    <mergeCell ref="AB10:AC10"/>
    <mergeCell ref="I9:K9"/>
    <mergeCell ref="L9:M9"/>
    <mergeCell ref="N9:P9"/>
    <mergeCell ref="Q9:S9"/>
    <mergeCell ref="T9:U9"/>
    <mergeCell ref="V9:X9"/>
    <mergeCell ref="Y11:AA11"/>
    <mergeCell ref="AB11:AC11"/>
    <mergeCell ref="I12:K12"/>
    <mergeCell ref="L12:M12"/>
    <mergeCell ref="N12:P12"/>
    <mergeCell ref="Q12:S12"/>
    <mergeCell ref="T12:U12"/>
    <mergeCell ref="V12:X12"/>
    <mergeCell ref="Y12:AA12"/>
    <mergeCell ref="AB12:AC12"/>
    <mergeCell ref="I11:K11"/>
    <mergeCell ref="L11:M11"/>
    <mergeCell ref="N11:P11"/>
    <mergeCell ref="Q11:S11"/>
    <mergeCell ref="T11:U11"/>
    <mergeCell ref="V11:X11"/>
    <mergeCell ref="Y13:AA13"/>
    <mergeCell ref="AB13:AC13"/>
    <mergeCell ref="I14:K14"/>
    <mergeCell ref="L14:M14"/>
    <mergeCell ref="N14:P14"/>
    <mergeCell ref="Q14:S14"/>
    <mergeCell ref="T14:U14"/>
    <mergeCell ref="V14:X14"/>
    <mergeCell ref="Y14:AA14"/>
    <mergeCell ref="AB14:AC14"/>
    <mergeCell ref="I13:K13"/>
    <mergeCell ref="L13:M13"/>
    <mergeCell ref="N13:P13"/>
    <mergeCell ref="Q13:S13"/>
    <mergeCell ref="T13:U13"/>
    <mergeCell ref="V13:X13"/>
    <mergeCell ref="Y15:AA15"/>
    <mergeCell ref="AB15:AC15"/>
    <mergeCell ref="I16:K16"/>
    <mergeCell ref="L16:M16"/>
    <mergeCell ref="N16:P16"/>
    <mergeCell ref="Q16:S16"/>
    <mergeCell ref="T16:U16"/>
    <mergeCell ref="V16:X16"/>
    <mergeCell ref="Y16:AA16"/>
    <mergeCell ref="AB16:AC16"/>
    <mergeCell ref="I15:K15"/>
    <mergeCell ref="L15:M15"/>
    <mergeCell ref="N15:P15"/>
    <mergeCell ref="Q15:S15"/>
    <mergeCell ref="T15:U15"/>
    <mergeCell ref="V15:X15"/>
    <mergeCell ref="Y17:AA17"/>
    <mergeCell ref="AB17:AC17"/>
    <mergeCell ref="I18:K18"/>
    <mergeCell ref="L18:M18"/>
    <mergeCell ref="N18:P18"/>
    <mergeCell ref="Q18:S18"/>
    <mergeCell ref="T18:U18"/>
    <mergeCell ref="V18:X18"/>
    <mergeCell ref="Y18:AA18"/>
    <mergeCell ref="AB18:AC18"/>
    <mergeCell ref="I17:K17"/>
    <mergeCell ref="L17:M17"/>
    <mergeCell ref="N17:P17"/>
    <mergeCell ref="Q17:S17"/>
    <mergeCell ref="T17:U17"/>
    <mergeCell ref="V17:X17"/>
    <mergeCell ref="Y19:AA19"/>
    <mergeCell ref="AB19:AC19"/>
    <mergeCell ref="I20:K20"/>
    <mergeCell ref="L20:M20"/>
    <mergeCell ref="N20:P20"/>
    <mergeCell ref="Q20:S20"/>
    <mergeCell ref="T20:U20"/>
    <mergeCell ref="V20:X20"/>
    <mergeCell ref="Y20:AA20"/>
    <mergeCell ref="AB20:AC20"/>
    <mergeCell ref="I19:K19"/>
    <mergeCell ref="L19:M19"/>
    <mergeCell ref="N19:P19"/>
    <mergeCell ref="Q19:S19"/>
    <mergeCell ref="T19:U19"/>
    <mergeCell ref="V19:X19"/>
    <mergeCell ref="C4:D4"/>
    <mergeCell ref="F38:G38"/>
    <mergeCell ref="F39:G39"/>
    <mergeCell ref="F40:G40"/>
    <mergeCell ref="F41:G41"/>
    <mergeCell ref="F42:G42"/>
    <mergeCell ref="Y21:AA21"/>
    <mergeCell ref="AB21:AC21"/>
    <mergeCell ref="I29:K29"/>
    <mergeCell ref="L29:M29"/>
    <mergeCell ref="N29:P29"/>
    <mergeCell ref="Q29:S29"/>
    <mergeCell ref="T29:U29"/>
    <mergeCell ref="V29:X29"/>
    <mergeCell ref="Y29:AA29"/>
    <mergeCell ref="AB29:AC29"/>
    <mergeCell ref="I21:K21"/>
    <mergeCell ref="L21:M21"/>
    <mergeCell ref="N21:P21"/>
    <mergeCell ref="Q21:S21"/>
    <mergeCell ref="T21:U21"/>
    <mergeCell ref="V21:X21"/>
    <mergeCell ref="I23:K23"/>
    <mergeCell ref="I24:K24"/>
  </mergeCells>
  <conditionalFormatting sqref="H5 H30 H7:I7 L7 N7 F33:F54">
    <cfRule type="dataBar" priority="3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{E4EFF6C3-279F-4853-9BDD-658169E9B45E}</x14:id>
        </ext>
      </extLst>
    </cfRule>
  </conditionalFormatting>
  <conditionalFormatting sqref="I31:AC32">
    <cfRule type="expression" dxfId="104" priority="33">
      <formula>I$31=TODAY()</formula>
    </cfRule>
  </conditionalFormatting>
  <conditionalFormatting sqref="I31:AC54">
    <cfRule type="expression" dxfId="103" priority="32">
      <formula>I$31=TODAY()</formula>
    </cfRule>
  </conditionalFormatting>
  <conditionalFormatting sqref="I33:AC54">
    <cfRule type="expression" dxfId="102" priority="34">
      <formula>AND($C33&lt;=I$31,ROUNDDOWN(($D33-$C33+1)*$F33,0)+$C33-1&gt;=I$31)</formula>
    </cfRule>
    <cfRule type="expression" dxfId="101" priority="35">
      <formula>AND(NOT(ISBLANK($C33)),$C33&lt;=I$31,$D33&gt;=I$31)</formula>
    </cfRule>
  </conditionalFormatting>
  <conditionalFormatting sqref="I42:AC54">
    <cfRule type="expression" dxfId="100" priority="36">
      <formula>AND(#REF!&lt;=I$31,ROUNDDOWN(($D42-#REF!+1)*#REF!,0)+#REF!-1&gt;=I$31)</formula>
    </cfRule>
    <cfRule type="expression" dxfId="99" priority="37">
      <formula>AND(NOT(ISBLANK(#REF!)),#REF!&lt;=I$31,$D42&gt;=I$31)</formula>
    </cfRule>
  </conditionalFormatting>
  <conditionalFormatting sqref="T7 Q7">
    <cfRule type="dataBar" priority="3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{DCA2201D-FF1D-489D-8458-98DB65C1C763}</x14:id>
        </ext>
      </extLst>
    </cfRule>
  </conditionalFormatting>
  <conditionalFormatting sqref="AB7 Y7">
    <cfRule type="dataBar" priority="2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{029A4DCB-1AE7-4432-9B92-33F06D46DF88}</x14:id>
        </ext>
      </extLst>
    </cfRule>
  </conditionalFormatting>
  <conditionalFormatting sqref="V7">
    <cfRule type="dataBar" priority="29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{06FF93E2-BCD6-4DFE-94F8-CED9CD4E0725}</x14:id>
        </ext>
      </extLst>
    </cfRule>
  </conditionalFormatting>
  <conditionalFormatting sqref="I41:AC54">
    <cfRule type="expression" dxfId="98" priority="38">
      <formula>AND($C41&lt;=I$31,ROUNDDOWN(($D41-$C41+1)*$AE41,0)+$C41-1&gt;=I$31)</formula>
    </cfRule>
    <cfRule type="expression" dxfId="97" priority="39">
      <formula>AND(NOT(ISBLANK($C41)),$C41&lt;=I$31,$D41&gt;=I$31)</formula>
    </cfRule>
  </conditionalFormatting>
  <conditionalFormatting sqref="G8 L8:M8 T8:U8 AB8:AC8">
    <cfRule type="containsText" dxfId="96" priority="25" operator="containsText" text="No">
      <formula>NOT(ISERROR(SEARCH("No",G8)))</formula>
    </cfRule>
    <cfRule type="containsText" dxfId="95" priority="26" operator="containsText" text="Yes">
      <formula>NOT(ISERROR(SEARCH("Yes",G8)))</formula>
    </cfRule>
    <cfRule type="containsText" dxfId="94" priority="27" operator="containsText" text="???">
      <formula>NOT(ISERROR(SEARCH("???",G8)))</formula>
    </cfRule>
  </conditionalFormatting>
  <conditionalFormatting sqref="AD8:AD29">
    <cfRule type="expression" dxfId="93" priority="24">
      <formula>FIND("Tournament",$B8) &gt;0</formula>
    </cfRule>
  </conditionalFormatting>
  <conditionalFormatting sqref="B8:AC8">
    <cfRule type="expression" dxfId="92" priority="22">
      <formula>$C8+$D8 - 1&lt;TODAY()</formula>
    </cfRule>
    <cfRule type="expression" dxfId="91" priority="23">
      <formula>$C8&gt;TODAY()</formula>
    </cfRule>
  </conditionalFormatting>
  <conditionalFormatting sqref="C4">
    <cfRule type="containsText" dxfId="90" priority="13" operator="containsText" text="Void">
      <formula>NOT(ISERROR(SEARCH("Void",C4)))</formula>
    </cfRule>
    <cfRule type="containsText" dxfId="89" priority="14" operator="containsText" text="Spirit">
      <formula>NOT(ISERROR(SEARCH("Spirit",C4)))</formula>
    </cfRule>
    <cfRule type="containsText" dxfId="88" priority="15" operator="containsText" text="Force">
      <formula>NOT(ISERROR(SEARCH("Force",C4)))</formula>
    </cfRule>
    <cfRule type="containsText" dxfId="87" priority="16" operator="containsText" text="Magic">
      <formula>NOT(ISERROR(SEARCH("Magic",C4)))</formula>
    </cfRule>
  </conditionalFormatting>
  <conditionalFormatting sqref="B4">
    <cfRule type="containsText" dxfId="86" priority="17" operator="containsText" text="Legend">
      <formula>NOT(ISERROR(SEARCH("Legend",B4)))</formula>
    </cfRule>
    <cfRule type="containsText" dxfId="85" priority="18" operator="containsText" text="Legendary">
      <formula>NOT(ISERROR(SEARCH("Legendary",B4)))</formula>
    </cfRule>
    <cfRule type="containsText" dxfId="84" priority="19" operator="containsText" text="Epic">
      <formula>NOT(ISERROR(SEARCH("Epic",B4)))</formula>
    </cfRule>
    <cfRule type="containsText" dxfId="83" priority="20" operator="containsText" text="Rare">
      <formula>NOT(ISERROR(SEARCH("Rare",B4)))</formula>
    </cfRule>
    <cfRule type="containsText" dxfId="82" priority="21" operator="containsText" text="Common">
      <formula>NOT(ISERROR(SEARCH("Common",B4)))</formula>
    </cfRule>
  </conditionalFormatting>
  <conditionalFormatting sqref="G9:G29 L9:M21 T9:U21 AB9:AC21 L29:M29 L22:L28 T29:U29 T22:T28 AB29:AC29 AB22:AB28">
    <cfRule type="containsText" dxfId="81" priority="10" operator="containsText" text="No">
      <formula>NOT(ISERROR(SEARCH("No",G9)))</formula>
    </cfRule>
    <cfRule type="containsText" dxfId="80" priority="11" operator="containsText" text="Yes">
      <formula>NOT(ISERROR(SEARCH("Yes",G9)))</formula>
    </cfRule>
    <cfRule type="containsText" dxfId="79" priority="12" operator="containsText" text="???">
      <formula>NOT(ISERROR(SEARCH("???",G9)))</formula>
    </cfRule>
  </conditionalFormatting>
  <conditionalFormatting sqref="E9:AC21 B9:C29 E29:AC29 E22:I28 L22:L28 N22:N28 Q22:Q28 T22:T28 V22:V28 Y22:Y28 AB22:AB28">
    <cfRule type="expression" dxfId="78" priority="8">
      <formula>$C9+$D9 - 1&lt;TODAY()</formula>
    </cfRule>
    <cfRule type="expression" dxfId="77" priority="9">
      <formula>$C9&gt;TODAY()</formula>
    </cfRule>
  </conditionalFormatting>
  <conditionalFormatting sqref="D9:D29">
    <cfRule type="expression" dxfId="76" priority="6">
      <formula>$C9+$D9 - 1&lt;TODAY()</formula>
    </cfRule>
    <cfRule type="expression" dxfId="75" priority="7">
      <formula>$C9&gt;TODAY()</formula>
    </cfRule>
  </conditionalFormatting>
  <conditionalFormatting sqref="B33:G54">
    <cfRule type="expression" dxfId="74" priority="4">
      <formula>$C8&gt;TODAY()</formula>
    </cfRule>
    <cfRule type="expression" dxfId="73" priority="5">
      <formula>$C8+$D8 - 1&lt;TODAY()</formula>
    </cfRule>
  </conditionalFormatting>
  <dataValidations count="1">
    <dataValidation type="list" allowBlank="1" showInputMessage="1" showErrorMessage="1" sqref="G8:G29 U29 M29 L8:L29 M8:M21 T8:T29 U8:U21 AB8:AB29 AC8:AC21 AC29" xr:uid="{00000000-0002-0000-0100-000000000000}">
      <formula1>"Yes, No, ???"</formula1>
    </dataValidation>
  </dataValidations>
  <pageMargins left="0.25" right="0.25" top="0.5" bottom="0.5" header="0.5" footer="0.25"/>
  <pageSetup scale="29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EFF6C3-279F-4853-9BDD-658169E9B4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H5 H30 H7:I7 L7 N7 F33:F54</xm:sqref>
        </x14:conditionalFormatting>
        <x14:conditionalFormatting xmlns:xm="http://schemas.microsoft.com/office/excel/2006/main">
          <x14:cfRule type="dataBar" id="{DCA2201D-FF1D-489D-8458-98DB65C1C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T7 Q7</xm:sqref>
        </x14:conditionalFormatting>
        <x14:conditionalFormatting xmlns:xm="http://schemas.microsoft.com/office/excel/2006/main">
          <x14:cfRule type="dataBar" id="{029A4DCB-1AE7-4432-9B92-33F06D46DF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AB7 Y7</xm:sqref>
        </x14:conditionalFormatting>
        <x14:conditionalFormatting xmlns:xm="http://schemas.microsoft.com/office/excel/2006/main">
          <x14:cfRule type="dataBar" id="{06FF93E2-BCD6-4DFE-94F8-CED9CD4E07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39997558519241921"/>
  </sheetPr>
  <dimension ref="A1:BB44"/>
  <sheetViews>
    <sheetView topLeftCell="A3" zoomScaleNormal="100" workbookViewId="0">
      <selection activeCell="Q6" sqref="Q6:T9"/>
    </sheetView>
  </sheetViews>
  <sheetFormatPr defaultRowHeight="15" x14ac:dyDescent="0.25"/>
  <cols>
    <col min="1" max="1" width="2" bestFit="1" customWidth="1"/>
    <col min="2" max="5" width="11" customWidth="1"/>
    <col min="6" max="6" width="1.42578125" customWidth="1"/>
    <col min="7" max="10" width="11" customWidth="1"/>
    <col min="11" max="11" width="1.42578125" customWidth="1"/>
    <col min="12" max="15" width="11" customWidth="1"/>
    <col min="16" max="16" width="1.42578125" customWidth="1"/>
    <col min="17" max="20" width="11" customWidth="1"/>
    <col min="21" max="21" width="1.85546875" customWidth="1"/>
    <col min="22" max="22" width="11.28515625" hidden="1" customWidth="1"/>
    <col min="23" max="54" width="8.85546875" hidden="1" customWidth="1"/>
    <col min="55" max="57" width="0" hidden="1" customWidth="1"/>
  </cols>
  <sheetData>
    <row r="1" spans="1:54" ht="31.5" customHeight="1" thickBot="1" x14ac:dyDescent="0.3">
      <c r="B1" s="549" t="s">
        <v>332</v>
      </c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49"/>
      <c r="Q1" s="549"/>
      <c r="R1" s="549"/>
      <c r="S1" s="549"/>
      <c r="T1" s="549"/>
      <c r="U1" s="72"/>
      <c r="AC1" s="2" t="s">
        <v>269</v>
      </c>
      <c r="AF1" s="2" t="s">
        <v>270</v>
      </c>
    </row>
    <row r="2" spans="1:54" ht="15.75" thickBot="1" x14ac:dyDescent="0.3">
      <c r="V2" s="73"/>
      <c r="W2" s="74" t="s">
        <v>271</v>
      </c>
      <c r="X2" s="75" t="s">
        <v>272</v>
      </c>
      <c r="Y2" s="75" t="s">
        <v>273</v>
      </c>
      <c r="Z2" s="76" t="s">
        <v>273</v>
      </c>
      <c r="AA2" s="74" t="s">
        <v>274</v>
      </c>
      <c r="AB2" s="75" t="s">
        <v>275</v>
      </c>
      <c r="AC2" s="76" t="s">
        <v>276</v>
      </c>
      <c r="AD2" s="74" t="s">
        <v>277</v>
      </c>
      <c r="AE2" s="75" t="s">
        <v>278</v>
      </c>
      <c r="AF2" s="76" t="s">
        <v>279</v>
      </c>
    </row>
    <row r="3" spans="1:54" s="77" customFormat="1" ht="21.75" customHeight="1" thickBot="1" x14ac:dyDescent="0.3">
      <c r="D3" s="550"/>
      <c r="E3" s="551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4" t="s">
        <v>264</v>
      </c>
      <c r="R3" s="555"/>
      <c r="V3" s="78" t="s">
        <v>280</v>
      </c>
      <c r="W3" s="79">
        <v>0</v>
      </c>
      <c r="X3" s="80">
        <v>50</v>
      </c>
      <c r="Y3" s="80">
        <v>50</v>
      </c>
      <c r="Z3" s="81">
        <v>60</v>
      </c>
      <c r="AA3" s="82">
        <v>1</v>
      </c>
      <c r="AB3" s="83">
        <v>50</v>
      </c>
      <c r="AC3" s="84">
        <f>SUM(INDEX(V_XP_5Star,AA3):INDEX(V_XP_5Star,AB3-1))</f>
        <v>963806</v>
      </c>
      <c r="AD3" s="82">
        <v>1</v>
      </c>
      <c r="AE3" s="83">
        <v>60</v>
      </c>
      <c r="AF3" s="84">
        <f>SUM(INDEX(V_XP_6Star,AD3):INDEX(V_XP_6Star,AE3-1))</f>
        <v>2010669</v>
      </c>
    </row>
    <row r="4" spans="1:54" s="77" customFormat="1" ht="21.75" customHeight="1" thickBot="1" x14ac:dyDescent="0.3">
      <c r="D4" s="552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6"/>
      <c r="R4" s="557"/>
      <c r="V4" s="85" t="s">
        <v>281</v>
      </c>
      <c r="W4" s="86">
        <f>IF(D4="✦✦✦✦✦",5,IF(D4="✦✦✦✦✧",4,IF(D4="✦✦✦✧✧",3,IF(D4="✦✦✧✧✧",2,IF(D4="✦✧✧✧✧",1,0)))))</f>
        <v>0</v>
      </c>
      <c r="X4" s="87">
        <v>6</v>
      </c>
      <c r="Y4" s="87">
        <f>X4-W4</f>
        <v>6</v>
      </c>
      <c r="Z4" s="88">
        <f>Q4</f>
        <v>0</v>
      </c>
    </row>
    <row r="5" spans="1:54" ht="36.75" customHeight="1" thickBot="1" x14ac:dyDescent="0.3">
      <c r="A5" s="89">
        <f>IF(B5=1,IF(G5=1,IF(L5=1,IF(Q5=1,1,0),0),0),0)</f>
        <v>0</v>
      </c>
      <c r="B5" s="558">
        <f>IF(D8="50/50",IF(D9="✦✦✦✦✦",1,0),0)</f>
        <v>0</v>
      </c>
      <c r="C5" s="558"/>
      <c r="D5" s="558"/>
      <c r="E5" s="558"/>
      <c r="G5" s="558">
        <f>IF(I8="50/50",IF(I9="✦✦✦✦✦",1,0),0)</f>
        <v>0</v>
      </c>
      <c r="H5" s="558"/>
      <c r="I5" s="558"/>
      <c r="J5" s="558"/>
      <c r="L5" s="558">
        <f>IF(N8="50/50",IF(N9="✦✦✦✦✦",1,0),0)</f>
        <v>0</v>
      </c>
      <c r="M5" s="558"/>
      <c r="N5" s="558"/>
      <c r="O5" s="558"/>
      <c r="Q5" s="558">
        <f>IF(S8="50/50",IF(S9="✦✦✦✦✦",1,0),0)</f>
        <v>0</v>
      </c>
      <c r="R5" s="558"/>
      <c r="S5" s="558"/>
      <c r="T5" s="558"/>
    </row>
    <row r="6" spans="1:54" s="77" customFormat="1" ht="32.25" thickBot="1" x14ac:dyDescent="0.3">
      <c r="B6" s="562"/>
      <c r="C6" s="563"/>
      <c r="D6" s="563"/>
      <c r="E6" s="564"/>
      <c r="F6" s="90"/>
      <c r="G6" s="562" t="s">
        <v>463</v>
      </c>
      <c r="H6" s="563"/>
      <c r="I6" s="563"/>
      <c r="J6" s="564"/>
      <c r="K6" s="90"/>
      <c r="L6" s="562" t="s">
        <v>463</v>
      </c>
      <c r="M6" s="563"/>
      <c r="N6" s="563"/>
      <c r="O6" s="564"/>
      <c r="P6" s="90"/>
      <c r="Q6" s="562" t="s">
        <v>463</v>
      </c>
      <c r="R6" s="563"/>
      <c r="S6" s="563"/>
      <c r="T6" s="564"/>
      <c r="W6" s="565">
        <f>CF_Epic_Champion1</f>
        <v>0</v>
      </c>
      <c r="X6" s="566"/>
      <c r="Y6" s="566"/>
      <c r="Z6" s="567"/>
      <c r="AA6" s="559" t="str">
        <f>CF_Epic_Champion2</f>
        <v>ffff</v>
      </c>
      <c r="AB6" s="560"/>
      <c r="AC6" s="560"/>
      <c r="AD6" s="561"/>
      <c r="AE6" s="559" t="str">
        <f>CF_Epic_Champion3</f>
        <v>ffff</v>
      </c>
      <c r="AF6" s="560"/>
      <c r="AG6" s="560"/>
      <c r="AH6" s="561"/>
      <c r="AI6" s="559" t="str">
        <f>CF_Epic_Champion4</f>
        <v>ffff</v>
      </c>
      <c r="AJ6" s="560"/>
      <c r="AK6" s="560"/>
      <c r="AL6" s="561"/>
    </row>
    <row r="7" spans="1:54" s="77" customFormat="1" ht="16.5" thickTop="1" thickBot="1" x14ac:dyDescent="0.3">
      <c r="B7" s="441" t="s">
        <v>38</v>
      </c>
      <c r="C7" s="442"/>
      <c r="D7" s="443"/>
      <c r="E7" s="444"/>
      <c r="G7" s="441" t="s">
        <v>38</v>
      </c>
      <c r="H7" s="442"/>
      <c r="I7" s="443"/>
      <c r="J7" s="444"/>
      <c r="L7" s="441" t="s">
        <v>38</v>
      </c>
      <c r="M7" s="442"/>
      <c r="N7" s="443"/>
      <c r="O7" s="444"/>
      <c r="Q7" s="441" t="s">
        <v>38</v>
      </c>
      <c r="R7" s="442"/>
      <c r="S7" s="443" t="s">
        <v>464</v>
      </c>
      <c r="T7" s="444"/>
      <c r="V7" s="73"/>
      <c r="W7" s="91" t="s">
        <v>271</v>
      </c>
      <c r="X7" s="92" t="s">
        <v>272</v>
      </c>
      <c r="Y7" s="92" t="s">
        <v>282</v>
      </c>
      <c r="Z7" s="93" t="s">
        <v>273</v>
      </c>
      <c r="AA7" s="91" t="s">
        <v>271</v>
      </c>
      <c r="AB7" s="92" t="s">
        <v>272</v>
      </c>
      <c r="AC7" s="92" t="s">
        <v>282</v>
      </c>
      <c r="AD7" s="93" t="s">
        <v>273</v>
      </c>
      <c r="AE7" s="91" t="s">
        <v>271</v>
      </c>
      <c r="AF7" s="92" t="s">
        <v>272</v>
      </c>
      <c r="AG7" s="92" t="s">
        <v>282</v>
      </c>
      <c r="AH7" s="93" t="s">
        <v>273</v>
      </c>
      <c r="AI7" s="91" t="s">
        <v>271</v>
      </c>
      <c r="AJ7" s="92" t="s">
        <v>272</v>
      </c>
      <c r="AK7" s="92" t="s">
        <v>282</v>
      </c>
      <c r="AL7" s="93" t="s">
        <v>273</v>
      </c>
    </row>
    <row r="8" spans="1:54" s="77" customFormat="1" x14ac:dyDescent="0.25">
      <c r="B8" s="453" t="s">
        <v>280</v>
      </c>
      <c r="C8" s="454"/>
      <c r="D8" s="455"/>
      <c r="E8" s="456"/>
      <c r="G8" s="453" t="s">
        <v>280</v>
      </c>
      <c r="H8" s="454"/>
      <c r="I8" s="455"/>
      <c r="J8" s="456"/>
      <c r="L8" s="453" t="s">
        <v>280</v>
      </c>
      <c r="M8" s="454"/>
      <c r="N8" s="455"/>
      <c r="O8" s="456"/>
      <c r="Q8" s="453" t="s">
        <v>280</v>
      </c>
      <c r="R8" s="454"/>
      <c r="S8" s="455" t="s">
        <v>42</v>
      </c>
      <c r="T8" s="456"/>
      <c r="V8" s="94" t="s">
        <v>280</v>
      </c>
      <c r="W8" s="95">
        <f>IF(D8="",0,VALUE(LEFT(D8,FIND("/",D8)-1)))</f>
        <v>0</v>
      </c>
      <c r="X8" s="96">
        <f>IF(D8="",0,VALUE(RIGHT(D8,2)))</f>
        <v>0</v>
      </c>
      <c r="Y8" s="96">
        <f>IF(X8=50,0,IF(X8=0,40,40-W8))</f>
        <v>40</v>
      </c>
      <c r="Z8" s="97">
        <f>IF(X8=0,50,IF(X8=40,50,X8-W8))</f>
        <v>50</v>
      </c>
      <c r="AA8" s="95">
        <f>IF(I8="",0,VALUE(LEFT(I8,FIND("/",I8)-1)))</f>
        <v>0</v>
      </c>
      <c r="AB8" s="96">
        <f>IF(I8="",0,VALUE(RIGHT(I8,2)))</f>
        <v>0</v>
      </c>
      <c r="AC8" s="96">
        <f>IF(AB8=50,0,IF(AB8=0,40,40-AA8))</f>
        <v>40</v>
      </c>
      <c r="AD8" s="97">
        <f>IF(AB8=0,50,IF(AB8=40,50,AB8-AA8))</f>
        <v>50</v>
      </c>
      <c r="AE8" s="95">
        <f>IF(N8="",0,VALUE(LEFT(N8,FIND("/",N8)-1)))</f>
        <v>0</v>
      </c>
      <c r="AF8" s="96">
        <f>IF(N8="",0,VALUE(RIGHT(N8,2)))</f>
        <v>0</v>
      </c>
      <c r="AG8" s="96">
        <f>IF(AF8=50,0,IF(AF8=0,40,40-AE8))</f>
        <v>40</v>
      </c>
      <c r="AH8" s="97">
        <f>IF(AF8=0,50,IF(AF8=40,50,AF8-AE8))</f>
        <v>50</v>
      </c>
      <c r="AI8" s="95">
        <f>IF(S8="",0,VALUE(LEFT(S8,FIND("/",S8)-1)))</f>
        <v>50</v>
      </c>
      <c r="AJ8" s="96">
        <f>IF(S8="",0,VALUE(RIGHT(S8,2)))</f>
        <v>50</v>
      </c>
      <c r="AK8" s="96">
        <f>IF(AJ8=50,0,IF(AJ8=0,40,40-AI8))</f>
        <v>0</v>
      </c>
      <c r="AL8" s="97">
        <f>IF(AJ8=0,50,IF(AJ8=40,50,AJ8-AI8))</f>
        <v>0</v>
      </c>
    </row>
    <row r="9" spans="1:54" s="77" customFormat="1" ht="21.75" thickBot="1" x14ac:dyDescent="0.3">
      <c r="B9" s="463" t="s">
        <v>281</v>
      </c>
      <c r="C9" s="464"/>
      <c r="D9" s="465" t="s">
        <v>137</v>
      </c>
      <c r="E9" s="466"/>
      <c r="G9" s="463" t="s">
        <v>281</v>
      </c>
      <c r="H9" s="464"/>
      <c r="I9" s="465" t="s">
        <v>137</v>
      </c>
      <c r="J9" s="466"/>
      <c r="L9" s="463" t="s">
        <v>281</v>
      </c>
      <c r="M9" s="464"/>
      <c r="N9" s="465" t="s">
        <v>137</v>
      </c>
      <c r="O9" s="466"/>
      <c r="Q9" s="463" t="s">
        <v>281</v>
      </c>
      <c r="R9" s="464"/>
      <c r="S9" s="465" t="s">
        <v>137</v>
      </c>
      <c r="T9" s="466"/>
      <c r="V9" s="98" t="s">
        <v>281</v>
      </c>
      <c r="W9" s="86">
        <f>IF(D9="✦✦✦✦✦",5,IF(D9="✦✦✦✦✧",4,IF(D9="✦✦✦✧✧",3,IF(D9="✦✦✧✧✧",2,IF(D9="✦✧✧✧✧",1,0)))))</f>
        <v>0</v>
      </c>
      <c r="X9" s="87">
        <v>5</v>
      </c>
      <c r="Y9" s="87">
        <f>X9-W9</f>
        <v>5</v>
      </c>
      <c r="Z9" s="88">
        <f>D7</f>
        <v>0</v>
      </c>
      <c r="AA9" s="86">
        <f>IF(I9="✦✦✦✦✦",5,IF(I9="✦✦✦✦✧",4,IF(I9="✦✦✦✧✧",3,IF(I9="✦✦✧✧✧",2,IF(I9="✦✧✧✧✧",1,0)))))</f>
        <v>0</v>
      </c>
      <c r="AB9" s="87">
        <v>5</v>
      </c>
      <c r="AC9" s="87">
        <f>AB9-AA9</f>
        <v>5</v>
      </c>
      <c r="AD9" s="88">
        <f>I7</f>
        <v>0</v>
      </c>
      <c r="AE9" s="86">
        <f>IF(N9="✦✦✦✦✦",5,IF(N9="✦✦✦✦✧",4,IF(N9="✦✦✦✧✧",3,IF(N9="✦✦✧✧✧",2,IF(N9="✦✧✧✧✧",1,0)))))</f>
        <v>0</v>
      </c>
      <c r="AF9" s="87">
        <v>5</v>
      </c>
      <c r="AG9" s="87">
        <f>AF9-AE9</f>
        <v>5</v>
      </c>
      <c r="AH9" s="88">
        <f>N7</f>
        <v>0</v>
      </c>
      <c r="AI9" s="86">
        <f>IF(S9="✦✦✦✦✦",5,IF(S9="✦✦✦✦✧",4,IF(S9="✦✦✦✧✧",3,IF(S9="✦✦✧✧✧",2,IF(S9="✦✧✧✧✧",1,0)))))</f>
        <v>0</v>
      </c>
      <c r="AJ9" s="87">
        <v>5</v>
      </c>
      <c r="AK9" s="87">
        <f>AJ9-AI9</f>
        <v>5</v>
      </c>
      <c r="AL9" s="88" t="str">
        <f>S7</f>
        <v>force</v>
      </c>
    </row>
    <row r="10" spans="1:54" ht="41.25" customHeight="1" thickBot="1" x14ac:dyDescent="0.3">
      <c r="A10" s="89">
        <f>IF(B10=1,IF(C10=1,IF(D10=1,IF(E10=1,1,0),0),0),0)</f>
        <v>0</v>
      </c>
      <c r="B10" s="99">
        <f>IF(C13="40/40",IF(C14="✦✦✦✦",1,0),0)</f>
        <v>0</v>
      </c>
      <c r="C10" s="99">
        <f>IF(E13="40/40",IF(E14="✦✦✦✦",1,0),0)</f>
        <v>0</v>
      </c>
      <c r="D10" s="99">
        <f>IF(C17="40/40",IF(C18="✦✦✦✦",1,0),0)</f>
        <v>0</v>
      </c>
      <c r="E10" s="99">
        <f>IF(E17="40/40",IF(E18="✦✦✦✦",1,0),0)</f>
        <v>0</v>
      </c>
      <c r="F10" s="89">
        <f>IF(G10=1,IF(H10=1,IF(I10=1,IF(J10=1,1,0),0),0),0)</f>
        <v>0</v>
      </c>
      <c r="G10" s="100">
        <f>IF(H13="40/40",IF(H14="✦✦✦✦",1,0),0)</f>
        <v>0</v>
      </c>
      <c r="H10" s="100">
        <f>IF(J13="40/40",IF(J14="✦✦✦✦",1,0),0)</f>
        <v>0</v>
      </c>
      <c r="I10" s="100">
        <f>IF(H17="40/40",IF(H18="✦✦✦✦",1,0),0)</f>
        <v>0</v>
      </c>
      <c r="J10" s="100">
        <f>IF(J17="40/40",IF(J18="✦✦✦✦",1,0),0)</f>
        <v>0</v>
      </c>
      <c r="K10" s="89">
        <f>IF(L10=1,IF(M10=1,IF(N10=1,IF(O10=1,1,0),0),0),0)</f>
        <v>0</v>
      </c>
      <c r="L10" s="100">
        <f>IF(M13="40/40",IF(M14="✦✦✦✦",1,0),0)</f>
        <v>0</v>
      </c>
      <c r="M10" s="100">
        <f>IF(O13="40/40",IF(O14="✦✦✦✦",1,0),0)</f>
        <v>0</v>
      </c>
      <c r="N10" s="100">
        <f>IF(M17="40/40",IF(M18="✦✦✦✦",1,0),0)</f>
        <v>0</v>
      </c>
      <c r="O10" s="100">
        <f>IF(O17="40/40",IF(O18="✦✦✦✦",1,0),0)</f>
        <v>0</v>
      </c>
      <c r="P10" s="89">
        <f>IF(Q10=1,IF(R10=1,IF(S10=1,IF(T10=1,1,0),0),0),0)</f>
        <v>0</v>
      </c>
      <c r="Q10" s="100">
        <f>IF(R13="40/40",IF(R14="✦✦✦✦",1,0),0)</f>
        <v>0</v>
      </c>
      <c r="R10" s="100">
        <f>IF(T13="40/40",IF(T14="✦✦✦✦",1,0),0)</f>
        <v>0</v>
      </c>
      <c r="S10" s="100">
        <f>IF(R17="40/40",IF(R18="✦✦✦✦",1,0),0)</f>
        <v>0</v>
      </c>
      <c r="T10" s="100">
        <f>IF(T17="40/40",IF(T18="✦✦✦✦",1,0),0)</f>
        <v>0</v>
      </c>
      <c r="V10" s="8"/>
    </row>
    <row r="11" spans="1:54" s="101" customFormat="1" ht="15.75" customHeight="1" thickBot="1" x14ac:dyDescent="0.3">
      <c r="B11" s="571"/>
      <c r="C11" s="572"/>
      <c r="D11" s="571"/>
      <c r="E11" s="572"/>
      <c r="F11" s="77"/>
      <c r="G11" s="571"/>
      <c r="H11" s="572"/>
      <c r="I11" s="571"/>
      <c r="J11" s="572"/>
      <c r="K11" s="77"/>
      <c r="L11" s="571"/>
      <c r="M11" s="572"/>
      <c r="N11" s="571"/>
      <c r="O11" s="572"/>
      <c r="P11" s="77"/>
      <c r="Q11" s="573"/>
      <c r="R11" s="574"/>
      <c r="S11" s="573"/>
      <c r="T11" s="574"/>
      <c r="V11" s="73"/>
      <c r="W11" s="568">
        <f>CF_Rare_Champion1</f>
        <v>0</v>
      </c>
      <c r="X11" s="569"/>
      <c r="Y11" s="569"/>
      <c r="Z11" s="570"/>
      <c r="AA11" s="568">
        <f>CF_Rare_Champion2</f>
        <v>0</v>
      </c>
      <c r="AB11" s="569"/>
      <c r="AC11" s="569"/>
      <c r="AD11" s="570"/>
      <c r="AE11" s="568">
        <f>CF_Rare_Champion5</f>
        <v>0</v>
      </c>
      <c r="AF11" s="569"/>
      <c r="AG11" s="569"/>
      <c r="AH11" s="570"/>
      <c r="AI11" s="568">
        <f>CF_Rare_Champion6</f>
        <v>0</v>
      </c>
      <c r="AJ11" s="569"/>
      <c r="AK11" s="569"/>
      <c r="AL11" s="570"/>
      <c r="AM11" s="568">
        <f>CF_Rare_Champion9</f>
        <v>0</v>
      </c>
      <c r="AN11" s="569"/>
      <c r="AO11" s="569"/>
      <c r="AP11" s="570"/>
      <c r="AQ11" s="568">
        <f>CF_Rare_Champion10</f>
        <v>0</v>
      </c>
      <c r="AR11" s="569"/>
      <c r="AS11" s="569"/>
      <c r="AT11" s="570"/>
      <c r="AU11" s="568">
        <f>CF_Rare_Champion13</f>
        <v>0</v>
      </c>
      <c r="AV11" s="569"/>
      <c r="AW11" s="569"/>
      <c r="AX11" s="570"/>
      <c r="AY11" s="568">
        <f>CF_Rare_Champion14</f>
        <v>0</v>
      </c>
      <c r="AZ11" s="569"/>
      <c r="BA11" s="569"/>
      <c r="BB11" s="570"/>
    </row>
    <row r="12" spans="1:54" s="102" customFormat="1" ht="15.75" customHeight="1" thickBot="1" x14ac:dyDescent="0.3">
      <c r="B12" s="103" t="s">
        <v>38</v>
      </c>
      <c r="C12" s="104"/>
      <c r="D12" s="103" t="s">
        <v>38</v>
      </c>
      <c r="E12" s="104"/>
      <c r="G12" s="103" t="s">
        <v>38</v>
      </c>
      <c r="H12" s="105"/>
      <c r="I12" s="103" t="s">
        <v>38</v>
      </c>
      <c r="J12" s="105"/>
      <c r="L12" s="103" t="s">
        <v>38</v>
      </c>
      <c r="M12" s="105"/>
      <c r="N12" s="103" t="s">
        <v>38</v>
      </c>
      <c r="O12" s="105"/>
      <c r="Q12" s="106" t="s">
        <v>38</v>
      </c>
      <c r="R12" s="107"/>
      <c r="S12" s="106" t="s">
        <v>38</v>
      </c>
      <c r="T12" s="107"/>
      <c r="V12" s="73"/>
      <c r="W12" s="91" t="s">
        <v>271</v>
      </c>
      <c r="X12" s="92" t="s">
        <v>272</v>
      </c>
      <c r="Y12" s="92" t="s">
        <v>283</v>
      </c>
      <c r="Z12" s="93" t="s">
        <v>282</v>
      </c>
      <c r="AA12" s="91" t="s">
        <v>271</v>
      </c>
      <c r="AB12" s="92" t="s">
        <v>272</v>
      </c>
      <c r="AC12" s="92" t="s">
        <v>283</v>
      </c>
      <c r="AD12" s="93" t="s">
        <v>282</v>
      </c>
      <c r="AE12" s="91" t="s">
        <v>271</v>
      </c>
      <c r="AF12" s="92" t="s">
        <v>272</v>
      </c>
      <c r="AG12" s="92" t="s">
        <v>283</v>
      </c>
      <c r="AH12" s="93" t="s">
        <v>282</v>
      </c>
      <c r="AI12" s="91" t="s">
        <v>271</v>
      </c>
      <c r="AJ12" s="92" t="s">
        <v>272</v>
      </c>
      <c r="AK12" s="92" t="s">
        <v>283</v>
      </c>
      <c r="AL12" s="93" t="s">
        <v>282</v>
      </c>
      <c r="AM12" s="91" t="s">
        <v>271</v>
      </c>
      <c r="AN12" s="92" t="s">
        <v>272</v>
      </c>
      <c r="AO12" s="92" t="s">
        <v>283</v>
      </c>
      <c r="AP12" s="93" t="s">
        <v>282</v>
      </c>
      <c r="AQ12" s="91" t="s">
        <v>271</v>
      </c>
      <c r="AR12" s="92" t="s">
        <v>272</v>
      </c>
      <c r="AS12" s="92" t="s">
        <v>283</v>
      </c>
      <c r="AT12" s="93" t="s">
        <v>282</v>
      </c>
      <c r="AU12" s="91" t="s">
        <v>271</v>
      </c>
      <c r="AV12" s="92" t="s">
        <v>272</v>
      </c>
      <c r="AW12" s="92" t="s">
        <v>283</v>
      </c>
      <c r="AX12" s="93" t="s">
        <v>282</v>
      </c>
      <c r="AY12" s="91" t="s">
        <v>271</v>
      </c>
      <c r="AZ12" s="92" t="s">
        <v>272</v>
      </c>
      <c r="BA12" s="92" t="s">
        <v>283</v>
      </c>
      <c r="BB12" s="93" t="s">
        <v>282</v>
      </c>
    </row>
    <row r="13" spans="1:54" s="102" customFormat="1" ht="15.75" customHeight="1" x14ac:dyDescent="0.25">
      <c r="B13" s="108" t="s">
        <v>280</v>
      </c>
      <c r="C13" s="109"/>
      <c r="D13" s="108" t="s">
        <v>280</v>
      </c>
      <c r="E13" s="109"/>
      <c r="G13" s="108" t="s">
        <v>280</v>
      </c>
      <c r="H13" s="109"/>
      <c r="I13" s="108" t="s">
        <v>280</v>
      </c>
      <c r="J13" s="109"/>
      <c r="L13" s="108" t="s">
        <v>280</v>
      </c>
      <c r="M13" s="109"/>
      <c r="N13" s="108" t="s">
        <v>280</v>
      </c>
      <c r="O13" s="109"/>
      <c r="Q13" s="108" t="s">
        <v>280</v>
      </c>
      <c r="R13" s="109"/>
      <c r="S13" s="108" t="s">
        <v>280</v>
      </c>
      <c r="T13" s="109"/>
      <c r="V13" s="110" t="s">
        <v>280</v>
      </c>
      <c r="W13" s="95">
        <f>IF(C13="",0,VALUE(LEFT(C13,FIND("/",C13)-1)))</f>
        <v>0</v>
      </c>
      <c r="X13" s="96">
        <f>IF(C13="",0,VALUE(RIGHT(C13,2)))</f>
        <v>0</v>
      </c>
      <c r="Y13" s="96">
        <f>IF(X13=40,0,IF(X13=0,30,30-W13))</f>
        <v>30</v>
      </c>
      <c r="Z13" s="97">
        <f>IF(X13=0,40,IF(X13=30,40,X13-W13))</f>
        <v>40</v>
      </c>
      <c r="AA13" s="95">
        <f>IF(F13="",0,VALUE(LEFT(F13,FIND("/",F13)-1)))</f>
        <v>0</v>
      </c>
      <c r="AB13" s="96">
        <f>IF(F13="",0,VALUE(RIGHT(F13,2)))</f>
        <v>0</v>
      </c>
      <c r="AC13" s="96">
        <f>IF(AB13=40,0,IF(AB13=0,30,30-AA13))</f>
        <v>30</v>
      </c>
      <c r="AD13" s="97">
        <f>IF(AB13=0,40,IF(AB13=30,40,AB13-AA13))</f>
        <v>40</v>
      </c>
      <c r="AE13" s="95">
        <f>IF(H13="",0,VALUE(LEFT(H13,FIND("/",H13)-1)))</f>
        <v>0</v>
      </c>
      <c r="AF13" s="96">
        <f>IF(H13="",0,VALUE(RIGHT(H13,2)))</f>
        <v>0</v>
      </c>
      <c r="AG13" s="96">
        <f>IF(AF13=40,0,IF(AF13=0,30,30-AE13))</f>
        <v>30</v>
      </c>
      <c r="AH13" s="97">
        <f>IF(AF13=0,40,IF(AF13=30,40,AF13-AE13))</f>
        <v>40</v>
      </c>
      <c r="AI13" s="95">
        <f>IF(J13="",0,VALUE(LEFT(J13,FIND("/",J13)-1)))</f>
        <v>0</v>
      </c>
      <c r="AJ13" s="96">
        <f>IF(J13="",0,VALUE(RIGHT(J13,2)))</f>
        <v>0</v>
      </c>
      <c r="AK13" s="96">
        <f>IF(AJ13=40,0,IF(AJ13=0,30,30-AI13))</f>
        <v>30</v>
      </c>
      <c r="AL13" s="97">
        <f>IF(AJ13=0,40,IF(AJ13=30,40,AJ13-AI13))</f>
        <v>40</v>
      </c>
      <c r="AM13" s="95">
        <f>IF(M13="",0,VALUE(LEFT(M13,FIND("/",M13)-1)))</f>
        <v>0</v>
      </c>
      <c r="AN13" s="96">
        <f>IF(M13="",0,VALUE(RIGHT(M13,2)))</f>
        <v>0</v>
      </c>
      <c r="AO13" s="96">
        <f>IF(AN13=40,0,IF(AN13=0,30,30-AM13))</f>
        <v>30</v>
      </c>
      <c r="AP13" s="97">
        <f>IF(AN13=0,40,IF(AN13=30,40,AN13-AM13))</f>
        <v>40</v>
      </c>
      <c r="AQ13" s="95">
        <f>IF(O13="",0,VALUE(LEFT(O13,FIND("/",O13)-1)))</f>
        <v>0</v>
      </c>
      <c r="AR13" s="96">
        <f>IF(O13="",0,VALUE(RIGHT(O13,2)))</f>
        <v>0</v>
      </c>
      <c r="AS13" s="96">
        <f>IF(AR13=40,0,IF(AR13=0,30,30-AQ13))</f>
        <v>30</v>
      </c>
      <c r="AT13" s="97">
        <f>IF(AR13=0,40,IF(AR13=30,40,AR13-AQ13))</f>
        <v>40</v>
      </c>
      <c r="AU13" s="95">
        <f>IF(R13="",0,VALUE(LEFT(R13,FIND("/",R13)-1)))</f>
        <v>0</v>
      </c>
      <c r="AV13" s="96">
        <f>IF(R13="",0,VALUE(RIGHT(R13,2)))</f>
        <v>0</v>
      </c>
      <c r="AW13" s="96">
        <f>IF(AV13=40,0,IF(AV13=0,30,30-AU13))</f>
        <v>30</v>
      </c>
      <c r="AX13" s="97">
        <f>IF(AV13=0,40,IF(AV13=30,40,AV13-AU13))</f>
        <v>40</v>
      </c>
      <c r="AY13" s="95">
        <f>IF(T13="",0,VALUE(LEFT(T13,FIND("/",T13)-1)))</f>
        <v>0</v>
      </c>
      <c r="AZ13" s="96">
        <f>IF(U13="",0,VALUE(RIGHT(U13,2)))</f>
        <v>0</v>
      </c>
      <c r="BA13" s="96">
        <f>IF(AZ13=40,0,IF(AZ13=0,30,30-AY13))</f>
        <v>30</v>
      </c>
      <c r="BB13" s="97">
        <f>IF(AZ13=0,40,IF(AZ13=30,40,AZ13-AY13))</f>
        <v>40</v>
      </c>
    </row>
    <row r="14" spans="1:54" s="102" customFormat="1" ht="15.75" customHeight="1" thickBot="1" x14ac:dyDescent="0.3">
      <c r="B14" s="111" t="s">
        <v>281</v>
      </c>
      <c r="C14" s="112" t="s">
        <v>133</v>
      </c>
      <c r="D14" s="111" t="s">
        <v>281</v>
      </c>
      <c r="E14" s="112" t="s">
        <v>133</v>
      </c>
      <c r="G14" s="111" t="s">
        <v>281</v>
      </c>
      <c r="H14" s="112" t="s">
        <v>133</v>
      </c>
      <c r="I14" s="111" t="s">
        <v>281</v>
      </c>
      <c r="J14" s="112" t="s">
        <v>133</v>
      </c>
      <c r="L14" s="111" t="s">
        <v>281</v>
      </c>
      <c r="M14" s="112" t="s">
        <v>133</v>
      </c>
      <c r="N14" s="111" t="s">
        <v>281</v>
      </c>
      <c r="O14" s="112" t="s">
        <v>133</v>
      </c>
      <c r="Q14" s="111" t="s">
        <v>281</v>
      </c>
      <c r="R14" s="112" t="s">
        <v>133</v>
      </c>
      <c r="S14" s="111" t="s">
        <v>281</v>
      </c>
      <c r="T14" s="112" t="s">
        <v>133</v>
      </c>
      <c r="V14" s="113" t="s">
        <v>281</v>
      </c>
      <c r="W14" s="86">
        <f>IF(C14="✦✦✦✦",4,IF(C14="✦✦✦✧",3,IF(C14="✦✦✧✧",2,IF(C14="✦✧✧✧",1,0))))</f>
        <v>0</v>
      </c>
      <c r="X14" s="87">
        <v>4</v>
      </c>
      <c r="Y14" s="87">
        <f>X14-W14</f>
        <v>4</v>
      </c>
      <c r="Z14" s="88">
        <f>C12</f>
        <v>0</v>
      </c>
      <c r="AA14" s="86">
        <f>IF(F14="✦✦✦✦",4,IF(F14="✦✦✦✧",3,IF(F14="✦✦✧✧",2,IF(F14="✦✧✧✧",1,0))))</f>
        <v>0</v>
      </c>
      <c r="AB14" s="87">
        <v>4</v>
      </c>
      <c r="AC14" s="87">
        <f>AB14-AA14</f>
        <v>4</v>
      </c>
      <c r="AD14" s="88">
        <f>E12</f>
        <v>0</v>
      </c>
      <c r="AE14" s="86">
        <f>IF(H14="✦✦✦✦",4,IF(H14="✦✦✦✧",3,IF(H14="✦✦✧✧",2,IF(H14="✦✧✧✧",1,0))))</f>
        <v>0</v>
      </c>
      <c r="AF14" s="87">
        <v>4</v>
      </c>
      <c r="AG14" s="87">
        <f>AF14-AE14</f>
        <v>4</v>
      </c>
      <c r="AH14" s="88">
        <f>H12</f>
        <v>0</v>
      </c>
      <c r="AI14" s="86">
        <f>IF(J14="✦✦✦✦",4,IF(J14="✦✦✦✧",3,IF(J14="✦✦✧✧",2,IF(J14="✦✧✧✧",1,0))))</f>
        <v>0</v>
      </c>
      <c r="AJ14" s="87">
        <v>4</v>
      </c>
      <c r="AK14" s="87">
        <f>AJ14-AI14</f>
        <v>4</v>
      </c>
      <c r="AL14" s="88">
        <f>J12</f>
        <v>0</v>
      </c>
      <c r="AM14" s="86">
        <f>IF(M14="✦✦✦✦",4,IF(M14="✦✦✦✧",3,IF(M14="✦✦✧✧",2,IF(M14="✦✧✧✧",1,0))))</f>
        <v>0</v>
      </c>
      <c r="AN14" s="87">
        <v>4</v>
      </c>
      <c r="AO14" s="87">
        <f>AN14-AM14</f>
        <v>4</v>
      </c>
      <c r="AP14" s="88">
        <f>M12</f>
        <v>0</v>
      </c>
      <c r="AQ14" s="86">
        <f>IF(O14="✦✦✦✦",4,IF(O14="✦✦✦✧",3,IF(O14="✦✦✧✧",2,IF(O14="✦✧✧✧",1,0))))</f>
        <v>0</v>
      </c>
      <c r="AR14" s="87">
        <v>4</v>
      </c>
      <c r="AS14" s="87">
        <f>AR14-AQ14</f>
        <v>4</v>
      </c>
      <c r="AT14" s="88">
        <f>O12</f>
        <v>0</v>
      </c>
      <c r="AU14" s="86">
        <f>IF(R14="✦✦✦✦",4,IF(R14="✦✦✦✧",3,IF(R14="✦✦✧✧",2,IF(R14="✦✧✧✧",1,0))))</f>
        <v>0</v>
      </c>
      <c r="AV14" s="87">
        <v>4</v>
      </c>
      <c r="AW14" s="87">
        <f>AV14-AU14</f>
        <v>4</v>
      </c>
      <c r="AX14" s="88">
        <f>R12</f>
        <v>0</v>
      </c>
      <c r="AY14" s="86">
        <f>IF(T14="✦✦✦✦",4,IF(T14="✦✦✦✧",3,IF(T14="✦✦✧✧",2,IF(T14="✦✧✧✧",1,0))))</f>
        <v>0</v>
      </c>
      <c r="AZ14" s="87">
        <v>4</v>
      </c>
      <c r="BA14" s="87">
        <f>AZ14-AY14</f>
        <v>4</v>
      </c>
      <c r="BB14" s="88">
        <f>T12</f>
        <v>0</v>
      </c>
    </row>
    <row r="15" spans="1:54" s="77" customFormat="1" ht="15.75" thickBot="1" x14ac:dyDescent="0.3">
      <c r="B15" s="571"/>
      <c r="C15" s="572"/>
      <c r="D15" s="571"/>
      <c r="E15" s="572"/>
      <c r="G15" s="571"/>
      <c r="H15" s="572"/>
      <c r="I15" s="571"/>
      <c r="J15" s="572"/>
      <c r="L15" s="571"/>
      <c r="M15" s="572"/>
      <c r="N15" s="571"/>
      <c r="O15" s="572"/>
      <c r="Q15" s="573"/>
      <c r="R15" s="574"/>
      <c r="S15" s="573"/>
      <c r="T15" s="574"/>
      <c r="V15" s="73"/>
      <c r="W15" s="568">
        <f>CF_Rare_Champion3</f>
        <v>0</v>
      </c>
      <c r="X15" s="569"/>
      <c r="Y15" s="569"/>
      <c r="Z15" s="570"/>
      <c r="AA15" s="568">
        <f>CF_Rare_Champion4</f>
        <v>0</v>
      </c>
      <c r="AB15" s="569"/>
      <c r="AC15" s="569"/>
      <c r="AD15" s="570"/>
      <c r="AE15" s="568">
        <f>CF_Rare_Champion7</f>
        <v>0</v>
      </c>
      <c r="AF15" s="569"/>
      <c r="AG15" s="569"/>
      <c r="AH15" s="570"/>
      <c r="AI15" s="568">
        <f>CF_Rare_Champion8</f>
        <v>0</v>
      </c>
      <c r="AJ15" s="569"/>
      <c r="AK15" s="569"/>
      <c r="AL15" s="570"/>
      <c r="AM15" s="568">
        <f>CF_Rare_Champion11</f>
        <v>0</v>
      </c>
      <c r="AN15" s="569"/>
      <c r="AO15" s="569"/>
      <c r="AP15" s="570"/>
      <c r="AQ15" s="568">
        <f>CF_Rare_Champion12</f>
        <v>0</v>
      </c>
      <c r="AR15" s="569"/>
      <c r="AS15" s="569"/>
      <c r="AT15" s="584"/>
      <c r="AU15" s="568">
        <f>CF_Rare_Champion15</f>
        <v>0</v>
      </c>
      <c r="AV15" s="569"/>
      <c r="AW15" s="569"/>
      <c r="AX15" s="570"/>
      <c r="AY15" s="575">
        <f>CF_Rare_Champion16</f>
        <v>0</v>
      </c>
      <c r="AZ15" s="569"/>
      <c r="BA15" s="569"/>
      <c r="BB15" s="570"/>
    </row>
    <row r="16" spans="1:54" s="77" customFormat="1" ht="15.75" thickBot="1" x14ac:dyDescent="0.3">
      <c r="B16" s="103" t="s">
        <v>38</v>
      </c>
      <c r="C16" s="104"/>
      <c r="D16" s="103" t="s">
        <v>38</v>
      </c>
      <c r="E16" s="104"/>
      <c r="G16" s="103" t="s">
        <v>38</v>
      </c>
      <c r="H16" s="105"/>
      <c r="I16" s="103" t="s">
        <v>38</v>
      </c>
      <c r="J16" s="105"/>
      <c r="L16" s="103" t="s">
        <v>38</v>
      </c>
      <c r="M16" s="105"/>
      <c r="N16" s="103" t="s">
        <v>38</v>
      </c>
      <c r="O16" s="105"/>
      <c r="Q16" s="106" t="s">
        <v>38</v>
      </c>
      <c r="R16" s="107"/>
      <c r="S16" s="106" t="s">
        <v>38</v>
      </c>
      <c r="T16" s="107"/>
      <c r="V16" s="73"/>
      <c r="W16" s="91" t="s">
        <v>271</v>
      </c>
      <c r="X16" s="92" t="s">
        <v>272</v>
      </c>
      <c r="Y16" s="92" t="s">
        <v>283</v>
      </c>
      <c r="Z16" s="93" t="s">
        <v>282</v>
      </c>
      <c r="AA16" s="91" t="s">
        <v>271</v>
      </c>
      <c r="AB16" s="92" t="s">
        <v>272</v>
      </c>
      <c r="AC16" s="92" t="s">
        <v>283</v>
      </c>
      <c r="AD16" s="93" t="s">
        <v>282</v>
      </c>
      <c r="AE16" s="91" t="s">
        <v>271</v>
      </c>
      <c r="AF16" s="92" t="s">
        <v>272</v>
      </c>
      <c r="AG16" s="92" t="s">
        <v>283</v>
      </c>
      <c r="AH16" s="93" t="s">
        <v>282</v>
      </c>
      <c r="AI16" s="91" t="s">
        <v>271</v>
      </c>
      <c r="AJ16" s="92" t="s">
        <v>272</v>
      </c>
      <c r="AK16" s="92" t="s">
        <v>283</v>
      </c>
      <c r="AL16" s="93" t="s">
        <v>282</v>
      </c>
      <c r="AM16" s="91" t="s">
        <v>271</v>
      </c>
      <c r="AN16" s="92" t="s">
        <v>272</v>
      </c>
      <c r="AO16" s="92" t="s">
        <v>283</v>
      </c>
      <c r="AP16" s="93" t="s">
        <v>282</v>
      </c>
      <c r="AQ16" s="91" t="s">
        <v>271</v>
      </c>
      <c r="AR16" s="92" t="s">
        <v>272</v>
      </c>
      <c r="AS16" s="92" t="s">
        <v>283</v>
      </c>
      <c r="AT16" s="114" t="s">
        <v>282</v>
      </c>
      <c r="AU16" s="91" t="s">
        <v>271</v>
      </c>
      <c r="AV16" s="92" t="s">
        <v>272</v>
      </c>
      <c r="AW16" s="92" t="s">
        <v>283</v>
      </c>
      <c r="AX16" s="93" t="s">
        <v>282</v>
      </c>
      <c r="AY16" s="115" t="s">
        <v>271</v>
      </c>
      <c r="AZ16" s="92" t="s">
        <v>272</v>
      </c>
      <c r="BA16" s="92" t="s">
        <v>283</v>
      </c>
      <c r="BB16" s="93" t="s">
        <v>282</v>
      </c>
    </row>
    <row r="17" spans="2:54" s="77" customFormat="1" x14ac:dyDescent="0.25">
      <c r="B17" s="108" t="s">
        <v>280</v>
      </c>
      <c r="C17" s="109"/>
      <c r="D17" s="108" t="s">
        <v>280</v>
      </c>
      <c r="E17" s="109"/>
      <c r="F17" s="116"/>
      <c r="G17" s="108" t="s">
        <v>280</v>
      </c>
      <c r="H17" s="109"/>
      <c r="I17" s="108" t="s">
        <v>280</v>
      </c>
      <c r="J17" s="109"/>
      <c r="K17" s="116"/>
      <c r="L17" s="108" t="s">
        <v>280</v>
      </c>
      <c r="M17" s="109"/>
      <c r="N17" s="108" t="s">
        <v>280</v>
      </c>
      <c r="O17" s="109"/>
      <c r="P17" s="116"/>
      <c r="Q17" s="108" t="s">
        <v>280</v>
      </c>
      <c r="R17" s="109"/>
      <c r="S17" s="108" t="s">
        <v>280</v>
      </c>
      <c r="T17" s="109"/>
      <c r="V17" s="110" t="s">
        <v>280</v>
      </c>
      <c r="W17" s="95">
        <f>IF(C17="",0,VALUE(LEFT(C17,FIND("/",C17)-1)))</f>
        <v>0</v>
      </c>
      <c r="X17" s="96">
        <f>IF(C17="",0,VALUE(RIGHT(C17,2)))</f>
        <v>0</v>
      </c>
      <c r="Y17" s="96">
        <f>IF(X17=40,0,IF(X17=0,30,30-W17))</f>
        <v>30</v>
      </c>
      <c r="Z17" s="97">
        <f>IF(X17=0,40,IF(X17=30,40,X17-W17))</f>
        <v>40</v>
      </c>
      <c r="AA17" s="95">
        <f>IF(F17="",0,VALUE(LEFT(F17,FIND("/",F17)-1)))</f>
        <v>0</v>
      </c>
      <c r="AB17" s="96">
        <f>IF(F17="",0,VALUE(RIGHT(F17,2)))</f>
        <v>0</v>
      </c>
      <c r="AC17" s="96">
        <f>IF(AB17=40,0,IF(AB17=0,30,30-AA17))</f>
        <v>30</v>
      </c>
      <c r="AD17" s="97">
        <f>IF(AB17=0,40,IF(AB17=30,40,AB17-AA17))</f>
        <v>40</v>
      </c>
      <c r="AE17" s="95">
        <f>IF(H17="",0,VALUE(LEFT(H17,FIND("/",H17)-1)))</f>
        <v>0</v>
      </c>
      <c r="AF17" s="96">
        <f>IF(H17="",0,VALUE(RIGHT(H17,2)))</f>
        <v>0</v>
      </c>
      <c r="AG17" s="96">
        <f>IF(AF17=40,0,IF(AF17=0,30,30-AE17))</f>
        <v>30</v>
      </c>
      <c r="AH17" s="97">
        <f>IF(AF17=0,40,IF(AF17=30,40,AF17-AE17))</f>
        <v>40</v>
      </c>
      <c r="AI17" s="95">
        <f>IF(J17="",0,VALUE(LEFT(J17,FIND("/",J17)-1)))</f>
        <v>0</v>
      </c>
      <c r="AJ17" s="96">
        <f>IF(J17="",0,VALUE(RIGHT(J17,2)))</f>
        <v>0</v>
      </c>
      <c r="AK17" s="96">
        <f>IF(AJ17=40,0,IF(AJ17=0,30,30-AI17))</f>
        <v>30</v>
      </c>
      <c r="AL17" s="97">
        <f>IF(AJ17=0,40,IF(AJ17=30,40,AJ17-AI17))</f>
        <v>40</v>
      </c>
      <c r="AM17" s="95">
        <f>IF(M17="",0,VALUE(LEFT(M17,FIND("/",M17)-1)))</f>
        <v>0</v>
      </c>
      <c r="AN17" s="96">
        <f>IF(M17="",0,VALUE(RIGHT(M17,2)))</f>
        <v>0</v>
      </c>
      <c r="AO17" s="96">
        <f>IF(AN17=40,0,IF(AN17=0,30,30-AM17))</f>
        <v>30</v>
      </c>
      <c r="AP17" s="97">
        <f>IF(AN17=0,40,IF(AN17=30,40,AN17-AM17))</f>
        <v>40</v>
      </c>
      <c r="AQ17" s="95">
        <f>IF(O17="",0,VALUE(LEFT(O17,FIND("/",O17)-1)))</f>
        <v>0</v>
      </c>
      <c r="AR17" s="96">
        <f>IF(O17="",0,VALUE(RIGHT(O17,2)))</f>
        <v>0</v>
      </c>
      <c r="AS17" s="96">
        <f>IF(AR17=40,0,IF(AR17=0,30,30-AQ17))</f>
        <v>30</v>
      </c>
      <c r="AT17" s="117">
        <f>IF(AR17=0,40,IF(AR17=30,40,AR17-AQ17))</f>
        <v>40</v>
      </c>
      <c r="AU17" s="118">
        <f>IF(R17="",0,VALUE(LEFT(R17,FIND("/",R17)-1)))</f>
        <v>0</v>
      </c>
      <c r="AV17" s="119">
        <f>IF(R17="",0,VALUE(RIGHT(R17,2)))</f>
        <v>0</v>
      </c>
      <c r="AW17" s="96">
        <f>IF(AV17=40,0,IF(AV17=0,30,30-AU17))</f>
        <v>30</v>
      </c>
      <c r="AX17" s="120">
        <f>IF(AV17=0,40,IF(AV17=30,40,AV17-AU17))</f>
        <v>40</v>
      </c>
      <c r="AY17" s="121">
        <f>IF(T17="",0,VALUE(LEFT(T17,FIND("/",T17)-1)))</f>
        <v>0</v>
      </c>
      <c r="AZ17" s="96">
        <f>IF(U17="",0,VALUE(RIGHT(U17,2)))</f>
        <v>0</v>
      </c>
      <c r="BA17" s="96">
        <f>IF(AZ17=40,0,IF(AZ17=0,30,30-AY17))</f>
        <v>30</v>
      </c>
      <c r="BB17" s="97">
        <f>IF(AZ17=0,40,IF(AZ17=30,40,AZ17-AY17))</f>
        <v>40</v>
      </c>
    </row>
    <row r="18" spans="2:54" s="77" customFormat="1" ht="15.75" thickBot="1" x14ac:dyDescent="0.3">
      <c r="B18" s="111" t="s">
        <v>281</v>
      </c>
      <c r="C18" s="112" t="s">
        <v>133</v>
      </c>
      <c r="D18" s="111" t="s">
        <v>281</v>
      </c>
      <c r="E18" s="112" t="s">
        <v>133</v>
      </c>
      <c r="G18" s="111" t="s">
        <v>281</v>
      </c>
      <c r="H18" s="112" t="s">
        <v>133</v>
      </c>
      <c r="I18" s="111" t="s">
        <v>281</v>
      </c>
      <c r="J18" s="112" t="s">
        <v>133</v>
      </c>
      <c r="L18" s="111" t="s">
        <v>281</v>
      </c>
      <c r="M18" s="112" t="s">
        <v>133</v>
      </c>
      <c r="N18" s="111" t="s">
        <v>281</v>
      </c>
      <c r="O18" s="112" t="s">
        <v>133</v>
      </c>
      <c r="Q18" s="111" t="s">
        <v>281</v>
      </c>
      <c r="R18" s="112" t="s">
        <v>133</v>
      </c>
      <c r="S18" s="111" t="s">
        <v>281</v>
      </c>
      <c r="T18" s="112" t="s">
        <v>133</v>
      </c>
      <c r="V18" s="113" t="s">
        <v>281</v>
      </c>
      <c r="W18" s="86">
        <f>IF(C18="✦✦✦✦",4,IF(C18="✦✦✦✧",3,IF(C18="✦✦✧✧",2,IF(C18="✦✧✧✧",1,0))))</f>
        <v>0</v>
      </c>
      <c r="X18" s="87">
        <v>4</v>
      </c>
      <c r="Y18" s="87">
        <f>X18-W18</f>
        <v>4</v>
      </c>
      <c r="Z18" s="88">
        <f>C16</f>
        <v>0</v>
      </c>
      <c r="AA18" s="86">
        <f>IF(F18="✦✦✦✦",4,IF(F18="✦✦✦✧",3,IF(F18="✦✦✧✧",2,IF(F18="✦✧✧✧",1,0))))</f>
        <v>0</v>
      </c>
      <c r="AB18" s="87">
        <v>4</v>
      </c>
      <c r="AC18" s="87">
        <f>AB18-AA18</f>
        <v>4</v>
      </c>
      <c r="AD18" s="88">
        <f>E16</f>
        <v>0</v>
      </c>
      <c r="AE18" s="86">
        <f>IF(H18="✦✦✦✦",4,IF(H18="✦✦✦✧",3,IF(H18="✦✦✧✧",2,IF(H18="✦✧✧✧",1,0))))</f>
        <v>0</v>
      </c>
      <c r="AF18" s="87">
        <v>4</v>
      </c>
      <c r="AG18" s="87">
        <f>AF18-AE18</f>
        <v>4</v>
      </c>
      <c r="AH18" s="88">
        <f>H16</f>
        <v>0</v>
      </c>
      <c r="AI18" s="86">
        <f>IF(J18="✦✦✦✦",4,IF(J18="✦✦✦✧",3,IF(J18="✦✦✧✧",2,IF(J18="✦✧✧✧",1,0))))</f>
        <v>0</v>
      </c>
      <c r="AJ18" s="87">
        <v>4</v>
      </c>
      <c r="AK18" s="87">
        <f>AJ18-AI18</f>
        <v>4</v>
      </c>
      <c r="AL18" s="88">
        <f>J16</f>
        <v>0</v>
      </c>
      <c r="AM18" s="86">
        <f>IF(M18="✦✦✦✦",4,IF(M18="✦✦✦✧",3,IF(M18="✦✦✧✧",2,IF(M18="✦✧✧✧",1,0))))</f>
        <v>0</v>
      </c>
      <c r="AN18" s="87">
        <v>4</v>
      </c>
      <c r="AO18" s="87">
        <f>AN18-AM18</f>
        <v>4</v>
      </c>
      <c r="AP18" s="88">
        <f>M16</f>
        <v>0</v>
      </c>
      <c r="AQ18" s="86">
        <f>IF(O18="✦✦✦✦",4,IF(O18="✦✦✦✧",3,IF(O18="✦✦✧✧",2,IF(O18="✦✧✧✧",1,0))))</f>
        <v>0</v>
      </c>
      <c r="AR18" s="87">
        <v>4</v>
      </c>
      <c r="AS18" s="87">
        <f>AR18-AQ18</f>
        <v>4</v>
      </c>
      <c r="AT18" s="122">
        <f>O16</f>
        <v>0</v>
      </c>
      <c r="AU18" s="86">
        <f>IF(R18="✦✦✦✦",4,IF(R18="✦✦✦✧",3,IF(R18="✦✦✧✧",2,IF(R18="✦✧✧✧",1,0))))</f>
        <v>0</v>
      </c>
      <c r="AV18" s="87">
        <v>4</v>
      </c>
      <c r="AW18" s="87">
        <f>AV18-AU18</f>
        <v>4</v>
      </c>
      <c r="AX18" s="88">
        <f>R16</f>
        <v>0</v>
      </c>
      <c r="AY18" s="123">
        <f>IF(T18="✦✦✦✦",4,IF(T18="✦✦✦✧",3,IF(T18="✦✦✧✧",2,IF(T18="✦✧✧✧",1,0))))</f>
        <v>0</v>
      </c>
      <c r="AZ18" s="87">
        <v>4</v>
      </c>
      <c r="BA18" s="87">
        <f>AZ18-AY18</f>
        <v>4</v>
      </c>
      <c r="BB18" s="88">
        <f>T16</f>
        <v>0</v>
      </c>
    </row>
    <row r="19" spans="2:54" ht="15.75" thickBot="1" x14ac:dyDescent="0.3">
      <c r="V19" s="8"/>
    </row>
    <row r="20" spans="2:54" ht="21.75" thickBot="1" x14ac:dyDescent="0.3">
      <c r="B20" s="124" t="s">
        <v>284</v>
      </c>
      <c r="C20" s="125"/>
      <c r="D20" s="473" t="s">
        <v>35</v>
      </c>
      <c r="E20" s="474"/>
      <c r="G20" s="585" t="s">
        <v>285</v>
      </c>
      <c r="H20" s="586"/>
      <c r="I20" s="586"/>
      <c r="J20" s="587"/>
      <c r="L20" s="585" t="s">
        <v>285</v>
      </c>
      <c r="M20" s="586"/>
      <c r="N20" s="586"/>
      <c r="O20" s="587"/>
      <c r="Q20" s="588" t="s">
        <v>286</v>
      </c>
      <c r="R20" s="589"/>
      <c r="S20" s="589"/>
      <c r="T20" s="590"/>
      <c r="W20" s="591" t="s">
        <v>21</v>
      </c>
      <c r="X20" s="592"/>
      <c r="Y20" s="593" t="s">
        <v>287</v>
      </c>
      <c r="Z20" s="594"/>
      <c r="AA20" s="595"/>
      <c r="AB20" s="593" t="s">
        <v>288</v>
      </c>
      <c r="AC20" s="594"/>
      <c r="AD20" s="595"/>
      <c r="AF20" s="576" t="s">
        <v>289</v>
      </c>
      <c r="AG20" s="577"/>
      <c r="AH20" s="577"/>
      <c r="AI20" s="578"/>
      <c r="AK20" s="126" t="s">
        <v>21</v>
      </c>
      <c r="AR20" s="2" t="s">
        <v>290</v>
      </c>
      <c r="AU20" s="2" t="s">
        <v>291</v>
      </c>
    </row>
    <row r="21" spans="2:54" ht="21.75" thickBot="1" x14ac:dyDescent="0.4">
      <c r="B21" s="124" t="s">
        <v>292</v>
      </c>
      <c r="C21" s="125"/>
      <c r="D21" s="481" t="s">
        <v>259</v>
      </c>
      <c r="E21" s="482"/>
      <c r="G21" s="579" t="s">
        <v>293</v>
      </c>
      <c r="H21" s="580"/>
      <c r="I21" s="580"/>
      <c r="J21" s="581"/>
      <c r="L21" s="579" t="s">
        <v>294</v>
      </c>
      <c r="M21" s="580"/>
      <c r="N21" s="580"/>
      <c r="O21" s="581"/>
      <c r="Q21" s="127" t="s">
        <v>38</v>
      </c>
      <c r="R21" s="128" t="s">
        <v>17</v>
      </c>
      <c r="S21" s="128" t="s">
        <v>18</v>
      </c>
      <c r="T21" s="129" t="s">
        <v>19</v>
      </c>
      <c r="W21" s="130" t="s">
        <v>295</v>
      </c>
      <c r="X21" s="131" t="s">
        <v>37</v>
      </c>
      <c r="Y21" s="132" t="s">
        <v>17</v>
      </c>
      <c r="Z21" s="133" t="s">
        <v>18</v>
      </c>
      <c r="AA21" s="134" t="s">
        <v>19</v>
      </c>
      <c r="AB21" s="135" t="s">
        <v>17</v>
      </c>
      <c r="AC21" s="133" t="s">
        <v>18</v>
      </c>
      <c r="AD21" s="134" t="s">
        <v>19</v>
      </c>
      <c r="AF21" s="582" t="s">
        <v>296</v>
      </c>
      <c r="AG21" s="583"/>
      <c r="AH21" s="583"/>
      <c r="AI21" s="136">
        <f>(VALUE(LEFT(CF_Stage,FIND("-",CF_Stage)-1))-1)*7+VALUE(RIGHT(CF_Stage,1))</f>
        <v>80</v>
      </c>
      <c r="AK21" s="137" t="s">
        <v>295</v>
      </c>
      <c r="AL21" s="138" t="s">
        <v>271</v>
      </c>
      <c r="AM21" s="139" t="s">
        <v>272</v>
      </c>
      <c r="AN21" s="139" t="s">
        <v>282</v>
      </c>
      <c r="AO21" s="140" t="s">
        <v>273</v>
      </c>
      <c r="AP21" s="138" t="s">
        <v>297</v>
      </c>
      <c r="AQ21" s="139" t="s">
        <v>298</v>
      </c>
      <c r="AR21" s="140" t="s">
        <v>299</v>
      </c>
      <c r="AS21" s="138" t="s">
        <v>274</v>
      </c>
      <c r="AT21" s="139" t="s">
        <v>275</v>
      </c>
      <c r="AU21" s="140" t="s">
        <v>276</v>
      </c>
    </row>
    <row r="22" spans="2:54" ht="24" thickBot="1" x14ac:dyDescent="0.3">
      <c r="B22" s="614" t="s">
        <v>300</v>
      </c>
      <c r="C22" s="615"/>
      <c r="D22" s="616"/>
      <c r="E22" s="141">
        <v>30</v>
      </c>
      <c r="G22" s="617" t="s">
        <v>301</v>
      </c>
      <c r="H22" s="618"/>
      <c r="I22" s="499">
        <f>SUM(CF_XP_Epic4,CF_XP_Epic5,CF_XP_Rare3,CF_XP_Rare4)</f>
        <v>10108208</v>
      </c>
      <c r="J22" s="500"/>
      <c r="L22" s="617" t="s">
        <v>301</v>
      </c>
      <c r="M22" s="618"/>
      <c r="N22" s="499">
        <f>SUM(CF_XP_Epic4,CF_XP_Epic5,CF_XP_Rare3,CF_XP_Rare4,CF_XP_Legend5,CF_XP_Legend6)</f>
        <v>13082683</v>
      </c>
      <c r="O22" s="500"/>
      <c r="Q22" s="142" t="s">
        <v>268</v>
      </c>
      <c r="R22" s="143">
        <f t="shared" ref="R22:T25" si="0">SUMIF($W$22:$W$25,$Q22,Y$22:Y$25)+SUMIF($W$29:$W$48,$Q22,Y$29:Y$48)</f>
        <v>0</v>
      </c>
      <c r="S22" s="143">
        <f t="shared" si="0"/>
        <v>0</v>
      </c>
      <c r="T22" s="144">
        <f t="shared" si="0"/>
        <v>0</v>
      </c>
      <c r="V22" s="8">
        <v>1</v>
      </c>
      <c r="W22" s="145">
        <f>$Z$9</f>
        <v>0</v>
      </c>
      <c r="X22" s="146">
        <f>$W$9</f>
        <v>0</v>
      </c>
      <c r="Y22" s="147">
        <f>IF($X22=5,0,SUM(INDEX(Epic_Affinity_Lesser,$X22+1):INDEX(Epic_Affinity_Lesser,5)))</f>
        <v>0</v>
      </c>
      <c r="Z22" s="148">
        <f>IF($X22=5,0,SUM(INDEX(Epic_Affinity_Greater,$X22+1):INDEX(Epic_Affinity_Greater,5)))</f>
        <v>20</v>
      </c>
      <c r="AA22" s="149">
        <f>IF($X22=5,0,SUM(INDEX(Epic_Affinity_Superior,X22+1):INDEX(Epic_Affinity_Superior,5)))</f>
        <v>6</v>
      </c>
      <c r="AB22" s="147">
        <f>IF(W22="",0,IF($X22=5,0,SUM(INDEX(Epic_Arcane_Lesser,$X22+1):INDEX(Epic_Arcane_Lesser,5))))</f>
        <v>0</v>
      </c>
      <c r="AC22" s="148">
        <f>IF($W22="",0,IF($X22=5,0,SUM(INDEX(Epic_Arcane_Greater,$X22+1):INDEX(Epic_Arcane_Greater,5))))</f>
        <v>15</v>
      </c>
      <c r="AD22" s="149">
        <f>IF($W22="",0,IF($X22=5,0,SUM(INDEX(Epic_Arcane_Superior,$X22+1):INDEX(Epic_Arcane_Superior,5))))</f>
        <v>3</v>
      </c>
      <c r="AF22" s="619" t="s">
        <v>302</v>
      </c>
      <c r="AG22" s="620"/>
      <c r="AH22" s="620"/>
      <c r="AI22" s="150" cm="1">
        <f t="array" ref="AI22">IF(VALUE(RIGHT(CF_Stage,1))=7,_xlfn.XLOOKUP(CF_Map,V_Energy_Map,V_Energy_Boss,FALSE),_xlfn.XLOOKUP(CF_Map,V_Energy_Map,V_Energy_Regular,FALSE))</f>
        <v>8</v>
      </c>
      <c r="AJ22" s="8">
        <v>1</v>
      </c>
      <c r="AK22" s="151">
        <f>$Z$9</f>
        <v>0</v>
      </c>
      <c r="AL22" s="95">
        <f>W8</f>
        <v>0</v>
      </c>
      <c r="AM22" s="96">
        <f>X8</f>
        <v>0</v>
      </c>
      <c r="AN22" s="96">
        <f>Y8</f>
        <v>40</v>
      </c>
      <c r="AO22" s="97">
        <f>Z8</f>
        <v>50</v>
      </c>
      <c r="AP22" s="95">
        <f>IF(AN22=40,1,IF(AN22=0,0,40-AN22))</f>
        <v>1</v>
      </c>
      <c r="AQ22" s="96">
        <f>IF(AP22=0,0,40)</f>
        <v>40</v>
      </c>
      <c r="AR22" s="150">
        <f>IF(AN22=0,0,SUM(INDEX(V_XP_4Star,AP22):INDEX(V_XP_4Star,AQ22-1)))</f>
        <v>449082</v>
      </c>
      <c r="AS22" s="95">
        <f>IF(AO22=50,1,IF(AO22=0,0,50-AO22))</f>
        <v>1</v>
      </c>
      <c r="AT22" s="96">
        <f>IF(AS22=0,0,50)</f>
        <v>50</v>
      </c>
      <c r="AU22" s="150">
        <f>IF(AO22=0,0,SUM(INDEX(V_XP_5Star,AS22):INDEX(V_XP_5Star,AT22-1)))</f>
        <v>963806</v>
      </c>
    </row>
    <row r="23" spans="2:54" ht="29.25" customHeight="1" thickBot="1" x14ac:dyDescent="0.3">
      <c r="B23" s="596" t="s">
        <v>303</v>
      </c>
      <c r="C23" s="596"/>
      <c r="D23" s="597"/>
      <c r="E23" s="141">
        <v>5</v>
      </c>
      <c r="G23" s="152" t="s">
        <v>304</v>
      </c>
      <c r="H23" s="153"/>
      <c r="I23" s="598">
        <f>ROUNDUP(I22/CF_XP_perRun,0)</f>
        <v>779</v>
      </c>
      <c r="J23" s="599"/>
      <c r="L23" s="152" t="s">
        <v>304</v>
      </c>
      <c r="M23" s="154"/>
      <c r="N23" s="598">
        <f>ROUNDUP(N22/CF_XP_perRun,0)</f>
        <v>1009</v>
      </c>
      <c r="O23" s="599"/>
      <c r="Q23" s="155" t="s">
        <v>265</v>
      </c>
      <c r="R23" s="143">
        <f t="shared" si="0"/>
        <v>0</v>
      </c>
      <c r="S23" s="143">
        <f t="shared" si="0"/>
        <v>20</v>
      </c>
      <c r="T23" s="144">
        <f t="shared" si="0"/>
        <v>6</v>
      </c>
      <c r="V23" s="8">
        <v>2</v>
      </c>
      <c r="W23" s="156">
        <f>$AD$9</f>
        <v>0</v>
      </c>
      <c r="X23" s="157">
        <f>$AA$9</f>
        <v>0</v>
      </c>
      <c r="Y23" s="158">
        <f>IF($X23=5,0,SUM(INDEX(Epic_Affinity_Lesser,$X23+1):INDEX(Epic_Affinity_Lesser,5)))</f>
        <v>0</v>
      </c>
      <c r="Z23" s="159">
        <f>IF($X23=5,0,SUM(INDEX(Epic_Affinity_Greater,$X23+1):INDEX(Epic_Affinity_Greater,5)))</f>
        <v>20</v>
      </c>
      <c r="AA23" s="160">
        <f>IF($X23=5,0,SUM(INDEX(Epic_Affinity_Superior,X23+1):INDEX(Epic_Affinity_Superior,5)))</f>
        <v>6</v>
      </c>
      <c r="AB23" s="158">
        <f>IF(W23="",0,IF($X23=5,0,SUM(INDEX(Epic_Arcane_Lesser,$X23+1):INDEX(Epic_Arcane_Lesser,5))))</f>
        <v>0</v>
      </c>
      <c r="AC23" s="159">
        <f>IF($W23="",0,IF($X23=5,0,SUM(INDEX(Epic_Arcane_Greater,$X23+1):INDEX(Epic_Arcane_Greater,5))))</f>
        <v>15</v>
      </c>
      <c r="AD23" s="160">
        <f>IF($W23="",0,IF($X23=5,0,SUM(INDEX(Epic_Arcane_Superior,$X23+1):INDEX(Epic_Arcane_Superior,5))))</f>
        <v>3</v>
      </c>
      <c r="AF23" s="603" t="s">
        <v>305</v>
      </c>
      <c r="AG23" s="604"/>
      <c r="AH23" s="604"/>
      <c r="AI23" s="161" cm="1">
        <f t="array" ref="AI23">IF(CF_Map="Nightmare",INDEX(V_XP_Nightmare,AI21),IF(CF_Map="Brutal",INDEX(V_XP_Brutal,AI21),IF(CF_Map="Hard",INDEX(V_XP_Hard,AI21),IF(CF_Map="Normal",INDEX(V_XP_Normal,AI21),""))))</f>
        <v>17304</v>
      </c>
      <c r="AJ23" s="8">
        <v>2</v>
      </c>
      <c r="AK23" s="151">
        <f>$AD$9</f>
        <v>0</v>
      </c>
      <c r="AL23" s="95">
        <f>AA8</f>
        <v>0</v>
      </c>
      <c r="AM23" s="96">
        <f>AB8</f>
        <v>0</v>
      </c>
      <c r="AN23" s="96">
        <f>AC8</f>
        <v>40</v>
      </c>
      <c r="AO23" s="97">
        <f>AD8</f>
        <v>50</v>
      </c>
      <c r="AP23" s="95">
        <f>IF(AN23=40,1,IF(AN23=0,0,40-AN23))</f>
        <v>1</v>
      </c>
      <c r="AQ23" s="96">
        <f>IF(AP23=0,0,40)</f>
        <v>40</v>
      </c>
      <c r="AR23" s="150">
        <f>IF(AN23=0,0,SUM(INDEX(V_XP_4Star,AP23):INDEX(V_XP_4Star,AQ23-1)))</f>
        <v>449082</v>
      </c>
      <c r="AS23" s="95">
        <f>IF(AO23=50,1,IF(AO23=0,0,50-AO23))</f>
        <v>1</v>
      </c>
      <c r="AT23" s="96">
        <f>IF(AS23=0,0,50)</f>
        <v>50</v>
      </c>
      <c r="AU23" s="150">
        <f>IF(AO23=0,0,SUM(INDEX(V_XP_5Star,AS23):INDEX(V_XP_5Star,AT23-1)))</f>
        <v>963806</v>
      </c>
    </row>
    <row r="24" spans="2:54" ht="24" thickBot="1" x14ac:dyDescent="0.3">
      <c r="B24" s="124" t="s">
        <v>306</v>
      </c>
      <c r="C24" s="162"/>
      <c r="D24" s="162"/>
      <c r="E24" s="163">
        <v>4</v>
      </c>
      <c r="G24" s="164" t="s">
        <v>307</v>
      </c>
      <c r="H24" s="165"/>
      <c r="I24" s="605">
        <f>I23*CF_Energy_perRun</f>
        <v>6232</v>
      </c>
      <c r="J24" s="606"/>
      <c r="L24" s="164" t="s">
        <v>307</v>
      </c>
      <c r="M24" s="166"/>
      <c r="N24" s="605">
        <f>N23*CF_Energy_perRun</f>
        <v>8072</v>
      </c>
      <c r="O24" s="606"/>
      <c r="Q24" s="155" t="s">
        <v>267</v>
      </c>
      <c r="R24" s="143">
        <f t="shared" si="0"/>
        <v>0</v>
      </c>
      <c r="S24" s="143">
        <f t="shared" si="0"/>
        <v>0</v>
      </c>
      <c r="T24" s="144">
        <f t="shared" si="0"/>
        <v>0</v>
      </c>
      <c r="V24" s="8">
        <v>3</v>
      </c>
      <c r="W24" s="156">
        <f>$AH$9</f>
        <v>0</v>
      </c>
      <c r="X24" s="157">
        <f>$AE$9</f>
        <v>0</v>
      </c>
      <c r="Y24" s="158">
        <f>IF($X24=5,0,SUM(INDEX(Epic_Affinity_Lesser,$X24+1):INDEX(Epic_Affinity_Lesser,5)))</f>
        <v>0</v>
      </c>
      <c r="Z24" s="159">
        <f>IF($X24=5,0,SUM(INDEX(Epic_Affinity_Greater,$X24+1):INDEX(Epic_Affinity_Greater,5)))</f>
        <v>20</v>
      </c>
      <c r="AA24" s="160">
        <f>IF($X24=5,0,SUM(INDEX(Epic_Affinity_Superior,X24+1):INDEX(Epic_Affinity_Superior,5)))</f>
        <v>6</v>
      </c>
      <c r="AB24" s="158">
        <f>IF(W24="",0,IF($X24=5,0,SUM(INDEX(Epic_Arcane_Lesser,$X24+1):INDEX(Epic_Arcane_Lesser,5))))</f>
        <v>0</v>
      </c>
      <c r="AC24" s="159">
        <f>IF($W24="",0,IF($X24=5,0,SUM(INDEX(Epic_Arcane_Greater,$X24+1):INDEX(Epic_Arcane_Greater,5))))</f>
        <v>15</v>
      </c>
      <c r="AD24" s="160">
        <f>IF($W24="",0,IF($X24=5,0,SUM(INDEX(Epic_Arcane_Superior,$X24+1):INDEX(Epic_Arcane_Superior,5))))</f>
        <v>3</v>
      </c>
      <c r="AF24" s="559" t="s">
        <v>308</v>
      </c>
      <c r="AG24" s="560"/>
      <c r="AH24" s="167" t="s">
        <v>309</v>
      </c>
      <c r="AI24" s="168">
        <f>IF(CF_XPBoost="On",2,1)</f>
        <v>1</v>
      </c>
      <c r="AJ24" s="8">
        <v>3</v>
      </c>
      <c r="AK24" s="151">
        <f>$AH$9</f>
        <v>0</v>
      </c>
      <c r="AL24" s="95">
        <f>AE8</f>
        <v>0</v>
      </c>
      <c r="AM24" s="96">
        <f>AF8</f>
        <v>0</v>
      </c>
      <c r="AN24" s="96">
        <f>AG8</f>
        <v>40</v>
      </c>
      <c r="AO24" s="97">
        <f>AH8</f>
        <v>50</v>
      </c>
      <c r="AP24" s="95">
        <f>IF(AN24=40,1,IF(AN24=0,0,40-AN24))</f>
        <v>1</v>
      </c>
      <c r="AQ24" s="96">
        <f>IF(AP24=0,0,40)</f>
        <v>40</v>
      </c>
      <c r="AR24" s="150">
        <f>IF(AN24=0,0,SUM(INDEX(V_XP_4Star,AP24):INDEX(V_XP_4Star,AQ24-1)))</f>
        <v>449082</v>
      </c>
      <c r="AS24" s="95">
        <f>IF(AO24=50,1,IF(AO24=0,0,50-AO24))</f>
        <v>1</v>
      </c>
      <c r="AT24" s="96">
        <f>IF(AS24=0,0,50)</f>
        <v>50</v>
      </c>
      <c r="AU24" s="150">
        <f>IF(AO24=0,0,SUM(INDEX(V_XP_5Star,AS24):INDEX(V_XP_5Star,AT24-1)))</f>
        <v>963806</v>
      </c>
    </row>
    <row r="25" spans="2:54" ht="24" thickBot="1" x14ac:dyDescent="0.3">
      <c r="B25" s="124" t="s">
        <v>310</v>
      </c>
      <c r="C25" s="162"/>
      <c r="D25" s="162"/>
      <c r="E25" s="141">
        <v>3</v>
      </c>
      <c r="G25" s="611" t="s">
        <v>311</v>
      </c>
      <c r="H25" s="612"/>
      <c r="I25" s="612"/>
      <c r="J25" s="613"/>
      <c r="L25" s="611" t="s">
        <v>311</v>
      </c>
      <c r="M25" s="612"/>
      <c r="N25" s="612"/>
      <c r="O25" s="613"/>
      <c r="Q25" s="169" t="s">
        <v>266</v>
      </c>
      <c r="R25" s="143">
        <f t="shared" si="0"/>
        <v>0</v>
      </c>
      <c r="S25" s="143">
        <f t="shared" si="0"/>
        <v>0</v>
      </c>
      <c r="T25" s="144">
        <f t="shared" si="0"/>
        <v>0</v>
      </c>
      <c r="V25" s="8">
        <v>4</v>
      </c>
      <c r="W25" s="170" t="str">
        <f>$AL$9</f>
        <v>force</v>
      </c>
      <c r="X25" s="171">
        <f>$AI$9</f>
        <v>0</v>
      </c>
      <c r="Y25" s="172">
        <f>IF($X25=5,0,SUM(INDEX(Epic_Affinity_Lesser,$X25+1):INDEX(Epic_Affinity_Lesser,5)))</f>
        <v>0</v>
      </c>
      <c r="Z25" s="173">
        <f>IF($X25=5,0,SUM(INDEX(Epic_Affinity_Greater,$X25+1):INDEX(Epic_Affinity_Greater,5)))</f>
        <v>20</v>
      </c>
      <c r="AA25" s="174">
        <f>IF($X25=5,0,SUM(INDEX(Epic_Affinity_Superior,X25+1):INDEX(Epic_Affinity_Superior,5)))</f>
        <v>6</v>
      </c>
      <c r="AB25" s="172">
        <f>IF(W25="",0,IF($X25=5,0,SUM(INDEX(Epic_Arcane_Lesser,$X25+1):INDEX(Epic_Arcane_Lesser,5))))</f>
        <v>0</v>
      </c>
      <c r="AC25" s="173">
        <f>IF($W25="",0,IF($X25=5,0,SUM(INDEX(Epic_Arcane_Greater,$X25+1):INDEX(Epic_Arcane_Greater,5))))</f>
        <v>15</v>
      </c>
      <c r="AD25" s="174">
        <f>IF($W25="",0,IF($X25=5,0,SUM(INDEX(Epic_Arcane_Superior,$X25+1):INDEX(Epic_Arcane_Superior,5))))</f>
        <v>3</v>
      </c>
      <c r="AF25" s="607"/>
      <c r="AG25" s="608"/>
      <c r="AH25" s="175" t="s">
        <v>312</v>
      </c>
      <c r="AI25" s="176">
        <f>IF(CF_RaidPass="On",1.2,1)</f>
        <v>1</v>
      </c>
      <c r="AJ25" s="8">
        <v>4</v>
      </c>
      <c r="AK25" s="177" t="str">
        <f>$AL$9</f>
        <v>force</v>
      </c>
      <c r="AL25" s="86">
        <f>AI8</f>
        <v>50</v>
      </c>
      <c r="AM25" s="87">
        <f>AJ8</f>
        <v>50</v>
      </c>
      <c r="AN25" s="87">
        <f>AK8</f>
        <v>0</v>
      </c>
      <c r="AO25" s="88">
        <f>AL8</f>
        <v>0</v>
      </c>
      <c r="AP25" s="86">
        <f>IF(AN25=40,1,IF(AN25=0,0,40-AN25))</f>
        <v>0</v>
      </c>
      <c r="AQ25" s="87">
        <f>IF(AP25=0,0,40)</f>
        <v>0</v>
      </c>
      <c r="AR25" s="178">
        <f>IF(AN25=0,0,SUM(INDEX(V_XP_4Star,AP25):INDEX(V_XP_4Star,AQ25-1)))</f>
        <v>0</v>
      </c>
      <c r="AS25" s="86">
        <f>IF(AO25=50,1,IF(AO25=0,0,50-AO25))</f>
        <v>0</v>
      </c>
      <c r="AT25" s="87">
        <f>IF(AS25=0,0,50)</f>
        <v>0</v>
      </c>
      <c r="AU25" s="178">
        <f>IF(AO25=0,0,SUM(INDEX(V_XP_5Star,AS25):INDEX(V_XP_5Star,AT25-1)))</f>
        <v>0</v>
      </c>
    </row>
    <row r="26" spans="2:54" ht="24" thickBot="1" x14ac:dyDescent="0.3">
      <c r="B26" s="596" t="s">
        <v>313</v>
      </c>
      <c r="C26" s="596"/>
      <c r="D26" s="597"/>
      <c r="E26" s="163" t="s">
        <v>314</v>
      </c>
      <c r="G26" s="617" t="s">
        <v>315</v>
      </c>
      <c r="H26" s="618"/>
      <c r="I26" s="618"/>
      <c r="J26" s="179">
        <f>ROUNDUP(I22/17500,0)</f>
        <v>578</v>
      </c>
      <c r="L26" s="617" t="s">
        <v>315</v>
      </c>
      <c r="M26" s="618"/>
      <c r="N26" s="618"/>
      <c r="O26" s="179">
        <f>ROUNDUP(N22/17500,0)</f>
        <v>748</v>
      </c>
      <c r="Q26" s="180" t="s">
        <v>39</v>
      </c>
      <c r="R26" s="181">
        <f>SUM(AB22:AB25)+SUM(AB29:AB48)</f>
        <v>80</v>
      </c>
      <c r="S26" s="181">
        <f>SUM(AC22:AC25)+SUM(AC29:AC48)</f>
        <v>108</v>
      </c>
      <c r="T26" s="182">
        <f>SUM(AD22:AD25)+SUM(AD29:AD48)</f>
        <v>12</v>
      </c>
      <c r="AF26" s="609"/>
      <c r="AG26" s="610"/>
      <c r="AH26" s="183" t="s">
        <v>316</v>
      </c>
      <c r="AI26" s="184">
        <f>IF(CF_Lvl100BattlePass="On",0.5,0)</f>
        <v>0</v>
      </c>
    </row>
    <row r="27" spans="2:54" ht="21.75" thickBot="1" x14ac:dyDescent="0.3">
      <c r="B27" s="596" t="s">
        <v>317</v>
      </c>
      <c r="C27" s="596"/>
      <c r="D27" s="597"/>
      <c r="E27" s="163" t="s">
        <v>314</v>
      </c>
      <c r="G27" s="636" t="s">
        <v>318</v>
      </c>
      <c r="H27" s="637"/>
      <c r="I27" s="637"/>
      <c r="J27" s="185">
        <f>ROUNDUP(I24/CF_FullEnergy,0)*40</f>
        <v>1920</v>
      </c>
      <c r="L27" s="636" t="s">
        <v>318</v>
      </c>
      <c r="M27" s="637"/>
      <c r="N27" s="637"/>
      <c r="O27" s="185">
        <f>ROUNDUP(N24/CF_FullEnergy,0)*40</f>
        <v>2520</v>
      </c>
      <c r="W27" s="638" t="s">
        <v>20</v>
      </c>
      <c r="X27" s="639"/>
      <c r="Y27" s="627" t="s">
        <v>287</v>
      </c>
      <c r="Z27" s="628"/>
      <c r="AA27" s="629"/>
      <c r="AB27" s="627" t="s">
        <v>288</v>
      </c>
      <c r="AC27" s="628"/>
      <c r="AD27" s="629"/>
      <c r="AF27" s="630" t="s">
        <v>319</v>
      </c>
      <c r="AG27" s="631"/>
      <c r="AH27" s="632"/>
      <c r="AI27" s="186">
        <f>AI24*AI25+AI26</f>
        <v>1</v>
      </c>
      <c r="AK27" s="187" t="s">
        <v>20</v>
      </c>
      <c r="AL27" s="188"/>
      <c r="AR27" s="2" t="s">
        <v>320</v>
      </c>
      <c r="AU27" s="2" t="s">
        <v>321</v>
      </c>
    </row>
    <row r="28" spans="2:54" ht="21.75" thickBot="1" x14ac:dyDescent="0.3">
      <c r="B28" s="596" t="s">
        <v>322</v>
      </c>
      <c r="C28" s="596"/>
      <c r="D28" s="597"/>
      <c r="E28" s="163" t="s">
        <v>314</v>
      </c>
      <c r="G28" s="611" t="s">
        <v>323</v>
      </c>
      <c r="H28" s="612"/>
      <c r="I28" s="612"/>
      <c r="J28" s="613"/>
      <c r="L28" s="611" t="s">
        <v>323</v>
      </c>
      <c r="M28" s="612"/>
      <c r="N28" s="612"/>
      <c r="O28" s="613"/>
      <c r="W28" s="189" t="s">
        <v>295</v>
      </c>
      <c r="X28" s="190" t="s">
        <v>37</v>
      </c>
      <c r="Y28" s="191" t="s">
        <v>17</v>
      </c>
      <c r="Z28" s="192" t="s">
        <v>18</v>
      </c>
      <c r="AA28" s="193" t="s">
        <v>19</v>
      </c>
      <c r="AB28" s="191" t="s">
        <v>17</v>
      </c>
      <c r="AC28" s="192" t="s">
        <v>18</v>
      </c>
      <c r="AD28" s="193" t="s">
        <v>19</v>
      </c>
      <c r="AF28" s="633" t="s">
        <v>324</v>
      </c>
      <c r="AG28" s="634"/>
      <c r="AH28" s="635"/>
      <c r="AI28" s="150">
        <f>AI23*AI27</f>
        <v>17304</v>
      </c>
      <c r="AK28" s="194" t="s">
        <v>295</v>
      </c>
      <c r="AL28" s="195" t="s">
        <v>271</v>
      </c>
      <c r="AM28" s="196" t="s">
        <v>272</v>
      </c>
      <c r="AN28" s="196" t="s">
        <v>283</v>
      </c>
      <c r="AO28" s="197" t="s">
        <v>282</v>
      </c>
      <c r="AP28" s="195" t="s">
        <v>325</v>
      </c>
      <c r="AQ28" s="196" t="s">
        <v>326</v>
      </c>
      <c r="AR28" s="197" t="s">
        <v>327</v>
      </c>
      <c r="AS28" s="195" t="s">
        <v>297</v>
      </c>
      <c r="AT28" s="196" t="s">
        <v>298</v>
      </c>
      <c r="AU28" s="197" t="s">
        <v>299</v>
      </c>
    </row>
    <row r="29" spans="2:54" ht="21.75" thickBot="1" x14ac:dyDescent="0.4">
      <c r="B29" s="596" t="s">
        <v>328</v>
      </c>
      <c r="C29" s="596"/>
      <c r="D29" s="597"/>
      <c r="E29" s="141">
        <v>130</v>
      </c>
      <c r="G29" s="600" t="str">
        <f>IF($E$22=0,"Not calculated",INT((SUM(I23*$E$22,I23*$E$23)/60)/60)&amp;" hrs "&amp;ROUNDUP(SUM(I23*$E$22,I23*$E$23)/60-(INT((SUM(I23*$E$22,I23*$E$23)/60)/60)*60),0)&amp;"mins")</f>
        <v>7 hrs 35mins</v>
      </c>
      <c r="H29" s="601"/>
      <c r="I29" s="601"/>
      <c r="J29" s="602"/>
      <c r="L29" s="600" t="str">
        <f>IF($E$22=0,"Not calculated",INT((SUM(N23*$E$22,N23*$E$23)/60)/60)&amp;" hrs "&amp;ROUNDUP(SUM(N23*$E$22,N23*$E$23)/60-(INT((SUM(N23*$E$22,N23*$E$23)/60)/60)*60),0)&amp;"mins")</f>
        <v>9 hrs 49mins</v>
      </c>
      <c r="M29" s="601"/>
      <c r="N29" s="601"/>
      <c r="O29" s="602"/>
      <c r="V29" s="8">
        <v>1</v>
      </c>
      <c r="W29" s="145">
        <f>$Z$14</f>
        <v>0</v>
      </c>
      <c r="X29" s="145">
        <f>IF($X$22=5,4,$W$14)</f>
        <v>0</v>
      </c>
      <c r="Y29" s="23">
        <f>IF($X29=4,0,SUM(INDEX(Rare_Affinity_Lesser,$X29+1):INDEX(Rare_Affinity_Lesser,4)))</f>
        <v>10</v>
      </c>
      <c r="Z29" s="24">
        <f>IF($X29=4,0,SUM(INDEX(Rare_Affinity_Greater,$X29+1):INDEX(Rare_Affinity_Greater,4)))</f>
        <v>4</v>
      </c>
      <c r="AA29" s="198">
        <f>IF($X29=4,0,SUM(INDEX(Rare_Affinity_Superior,$X29+1):INDEX(Rare_Affinity_Superior,4)))</f>
        <v>0</v>
      </c>
      <c r="AB29" s="23">
        <f>IF($W29="",0,IF($X29=4,0,SUM(INDEX(Rare_Arcane_Lesser,$X29+1):INDEX(Rare_Arcane_Lesser,4))))</f>
        <v>5</v>
      </c>
      <c r="AC29" s="24">
        <f>IF($W29="",0,IF($X29=4,0,SUM(INDEX(Rare_Arcane_Greater,$X29+1):INDEX(Rare_Arcane_Greater,4))))</f>
        <v>3</v>
      </c>
      <c r="AD29" s="25">
        <f>IF($W29="",0,IF($X29=4,0,SUM(INDEX(Rare_Arcane_Superior,$X29+1):INDEX(Rare_Arcane_Superior,4))))</f>
        <v>0</v>
      </c>
      <c r="AF29" s="621" t="s">
        <v>329</v>
      </c>
      <c r="AG29" s="622"/>
      <c r="AH29" s="623"/>
      <c r="AI29" s="150">
        <f>AI28/CF_Runners</f>
        <v>4326</v>
      </c>
      <c r="AJ29" s="8">
        <v>1</v>
      </c>
      <c r="AK29" s="199">
        <f>$Z$14</f>
        <v>0</v>
      </c>
      <c r="AL29" s="23">
        <f>$W$13</f>
        <v>0</v>
      </c>
      <c r="AM29" s="24">
        <f>$X$13</f>
        <v>0</v>
      </c>
      <c r="AN29" s="24">
        <f>$Y$13</f>
        <v>30</v>
      </c>
      <c r="AO29" s="25">
        <f>$Z$13</f>
        <v>40</v>
      </c>
      <c r="AP29" s="23">
        <f>IF(AN29=30,1,IF(AN29=0,0,30-AN29))</f>
        <v>1</v>
      </c>
      <c r="AQ29" s="24">
        <f>IF(AP29=0,0,30)</f>
        <v>30</v>
      </c>
      <c r="AR29" s="200">
        <f>IF($AL$22&lt;&gt;0,0,IF(AN29=0,0,SUM(INDEX(V_XP_3Star,AP29):INDEX(V_XP_3Star,AQ29-1))))</f>
        <v>200681</v>
      </c>
      <c r="AS29" s="23">
        <f>IF(AO29=40,1,IF(AO29=0,0,40-AO29))</f>
        <v>1</v>
      </c>
      <c r="AT29" s="24">
        <f>IF(AS29=0,0,40)</f>
        <v>40</v>
      </c>
      <c r="AU29" s="200">
        <f>IF($AL$22&lt;&gt;0,0,IF(AO29=0,0,SUM(INDEX(V_XP_4Star,AS29):INDEX(V_XP_4Star,AT29-1))))</f>
        <v>449082</v>
      </c>
    </row>
    <row r="30" spans="2:54" ht="15.75" thickBot="1" x14ac:dyDescent="0.3">
      <c r="V30" s="8">
        <v>2</v>
      </c>
      <c r="W30" s="40">
        <f>$AD$14</f>
        <v>0</v>
      </c>
      <c r="X30" s="40">
        <f>IF($X$22=5,4,$AA$14)</f>
        <v>0</v>
      </c>
      <c r="Y30" s="35">
        <f>IF($X30=4,0,SUM(INDEX(Rare_Affinity_Lesser,$X30+1):INDEX(Rare_Affinity_Lesser,4)))</f>
        <v>10</v>
      </c>
      <c r="Z30" s="36">
        <f>IF($X30=4,0,SUM(INDEX(Rare_Affinity_Greater,$X30+1):INDEX(Rare_Affinity_Greater,4)))</f>
        <v>4</v>
      </c>
      <c r="AA30" s="44">
        <f>IF($X30=4,0,SUM(INDEX(Rare_Affinity_Superior,$X30+1):INDEX(Rare_Affinity_Superior,4)))</f>
        <v>0</v>
      </c>
      <c r="AB30" s="35">
        <f>IF($W30="",0,IF($X30=4,0,SUM(INDEX(Rare_Arcane_Lesser,$X30+1):INDEX(Rare_Arcane_Lesser,4))))</f>
        <v>5</v>
      </c>
      <c r="AC30" s="36">
        <f>IF($W30="",0,IF($X30=4,0,SUM(INDEX(Rare_Arcane_Greater,$X30+1):INDEX(Rare_Arcane_Greater,4))))</f>
        <v>3</v>
      </c>
      <c r="AD30" s="37">
        <f>IF($W30="",0,IF($X30=4,0,SUM(INDEX(Rare_Arcane_Superior,$X30+1):INDEX(Rare_Arcane_Superior,4))))</f>
        <v>0</v>
      </c>
      <c r="AF30" s="624" t="s">
        <v>330</v>
      </c>
      <c r="AG30" s="625"/>
      <c r="AH30" s="625"/>
      <c r="AI30" s="178">
        <f>AI29*CF_Food</f>
        <v>12978</v>
      </c>
      <c r="AJ30" s="8">
        <v>2</v>
      </c>
      <c r="AK30" s="157">
        <f>$AD$14</f>
        <v>0</v>
      </c>
      <c r="AL30" s="35">
        <f>$AA$13</f>
        <v>0</v>
      </c>
      <c r="AM30" s="36">
        <f>$AB$13</f>
        <v>0</v>
      </c>
      <c r="AN30" s="36">
        <f>$AC$13</f>
        <v>30</v>
      </c>
      <c r="AO30" s="37">
        <f>$AD$13</f>
        <v>40</v>
      </c>
      <c r="AP30" s="35">
        <f>IF(AN30=30,1,IF(AN30=0,0,30-AN30))</f>
        <v>1</v>
      </c>
      <c r="AQ30" s="36">
        <f>IF(AP30=0,0,30)</f>
        <v>30</v>
      </c>
      <c r="AR30" s="38">
        <f>IF($AL$22&lt;&gt;0,0,IF(AN30=0,0,SUM(INDEX(V_XP_3Star,AP30):INDEX(V_XP_3Star,AQ30-1))))</f>
        <v>200681</v>
      </c>
      <c r="AS30" s="35">
        <f>IF(AO30=40,1,IF(AO30=0,0,40-AO30))</f>
        <v>1</v>
      </c>
      <c r="AT30" s="36">
        <f>IF(AS30=0,0,40)</f>
        <v>40</v>
      </c>
      <c r="AU30" s="38">
        <f>IF($AL$22&lt;&gt;0,0,IF(AO30=0,0,SUM(INDEX(V_XP_4Star,AS30):INDEX(V_XP_4Star,AT30-1))))</f>
        <v>449082</v>
      </c>
    </row>
    <row r="31" spans="2:54" ht="15" customHeight="1" x14ac:dyDescent="0.25">
      <c r="V31" s="8">
        <v>3</v>
      </c>
      <c r="W31" s="40">
        <f>$Z$18</f>
        <v>0</v>
      </c>
      <c r="X31" s="40">
        <f>IF($X$22=5,4,$W$18)</f>
        <v>0</v>
      </c>
      <c r="Y31" s="35">
        <f>IF($X31=4,0,SUM(INDEX(Rare_Affinity_Lesser,$X31+1):INDEX(Rare_Affinity_Lesser,4)))</f>
        <v>10</v>
      </c>
      <c r="Z31" s="36">
        <f>IF($X31=4,0,SUM(INDEX(Rare_Affinity_Greater,$X31+1):INDEX(Rare_Affinity_Greater,4)))</f>
        <v>4</v>
      </c>
      <c r="AA31" s="44">
        <f>IF($X31=4,0,SUM(INDEX(Rare_Affinity_Superior,$X31+1):INDEX(Rare_Affinity_Superior,4)))</f>
        <v>0</v>
      </c>
      <c r="AB31" s="35">
        <f>IF($W31="",0,IF($X31=4,0,SUM(INDEX(Rare_Arcane_Lesser,$X31+1):INDEX(Rare_Arcane_Lesser,4))))</f>
        <v>5</v>
      </c>
      <c r="AC31" s="36">
        <f>IF($W31="",0,IF($X31=4,0,SUM(INDEX(Rare_Arcane_Greater,$X31+1):INDEX(Rare_Arcane_Greater,4))))</f>
        <v>3</v>
      </c>
      <c r="AD31" s="37">
        <f>IF($W31="",0,IF($X31=4,0,SUM(INDEX(Rare_Arcane_Superior,$X31+1):INDEX(Rare_Arcane_Superior,4))))</f>
        <v>0</v>
      </c>
      <c r="AJ31" s="8">
        <v>3</v>
      </c>
      <c r="AK31" s="157">
        <f>$Z$18</f>
        <v>0</v>
      </c>
      <c r="AL31" s="35">
        <f>$W$17</f>
        <v>0</v>
      </c>
      <c r="AM31" s="36">
        <f>$X$17</f>
        <v>0</v>
      </c>
      <c r="AN31" s="36">
        <f>$Y$17</f>
        <v>30</v>
      </c>
      <c r="AO31" s="37">
        <f>$Z$17</f>
        <v>40</v>
      </c>
      <c r="AP31" s="35">
        <f t="shared" ref="AP31:AP44" si="1">IF(AN31=30,1,IF(AN31=0,0,30-AN31))</f>
        <v>1</v>
      </c>
      <c r="AQ31" s="36">
        <f t="shared" ref="AQ31:AQ44" si="2">IF(AP31=0,0,30)</f>
        <v>30</v>
      </c>
      <c r="AR31" s="38">
        <f>IF($AL$22&lt;&gt;0,0,IF(AN31=0,0,SUM(INDEX(V_XP_3Star,AP31):INDEX(V_XP_3Star,AQ31-1))))</f>
        <v>200681</v>
      </c>
      <c r="AS31" s="35">
        <f t="shared" ref="AS31:AS44" si="3">IF(AO31=40,1,IF(AO31=0,0,40-AO31))</f>
        <v>1</v>
      </c>
      <c r="AT31" s="36">
        <f t="shared" ref="AT31:AT44" si="4">IF(AS31=0,0,40)</f>
        <v>40</v>
      </c>
      <c r="AU31" s="38">
        <f>IF($AL$22&lt;&gt;0,0,IF(AO31=0,0,SUM(INDEX(V_XP_4Star,AS31):INDEX(V_XP_4Star,AT31-1))))</f>
        <v>449082</v>
      </c>
    </row>
    <row r="32" spans="2:54" ht="15.75" thickBot="1" x14ac:dyDescent="0.3">
      <c r="V32" s="8">
        <v>4</v>
      </c>
      <c r="W32" s="170">
        <f>$AD$18</f>
        <v>0</v>
      </c>
      <c r="X32" s="170">
        <f>IF($X$22=5,4,$AA$18)</f>
        <v>0</v>
      </c>
      <c r="Y32" s="47">
        <f>IF($X32=4,0,SUM(INDEX(Rare_Affinity_Lesser,$X32+1):INDEX(Rare_Affinity_Lesser,4)))</f>
        <v>10</v>
      </c>
      <c r="Z32" s="48">
        <f>IF($X32=4,0,SUM(INDEX(Rare_Affinity_Greater,$X32+1):INDEX(Rare_Affinity_Greater,4)))</f>
        <v>4</v>
      </c>
      <c r="AA32" s="201">
        <f>IF($X32=4,0,SUM(INDEX(Rare_Affinity_Superior,$X32+1):INDEX(Rare_Affinity_Superior,4)))</f>
        <v>0</v>
      </c>
      <c r="AB32" s="47">
        <f>IF($W32="",0,IF($X32=4,0,SUM(INDEX(Rare_Arcane_Lesser,$X32+1):INDEX(Rare_Arcane_Lesser,4))))</f>
        <v>5</v>
      </c>
      <c r="AC32" s="48">
        <f>IF($W32="",0,IF($X32=4,0,SUM(INDEX(Rare_Arcane_Greater,$X32+1):INDEX(Rare_Arcane_Greater,4))))</f>
        <v>3</v>
      </c>
      <c r="AD32" s="49">
        <f>IF($W32="",0,IF($X32=4,0,SUM(INDEX(Rare_Arcane_Superior,$X32+1):INDEX(Rare_Arcane_Superior,4))))</f>
        <v>0</v>
      </c>
      <c r="AF32" s="626" t="s">
        <v>331</v>
      </c>
      <c r="AG32" s="626"/>
      <c r="AH32" s="626"/>
      <c r="AI32" s="626"/>
      <c r="AJ32" s="8">
        <v>4</v>
      </c>
      <c r="AK32" s="171">
        <f>$AD$18</f>
        <v>0</v>
      </c>
      <c r="AL32" s="47">
        <f>$AA$17</f>
        <v>0</v>
      </c>
      <c r="AM32" s="48">
        <f>$AB$17</f>
        <v>0</v>
      </c>
      <c r="AN32" s="48">
        <f>$AC$17</f>
        <v>30</v>
      </c>
      <c r="AO32" s="49">
        <f>$AD$17</f>
        <v>40</v>
      </c>
      <c r="AP32" s="47">
        <f t="shared" si="1"/>
        <v>1</v>
      </c>
      <c r="AQ32" s="48">
        <f t="shared" si="2"/>
        <v>30</v>
      </c>
      <c r="AR32" s="64">
        <f>IF($AL$22&lt;&gt;0,0,IF(AN32=0,0,SUM(INDEX(V_XP_3Star,AP32):INDEX(V_XP_3Star,AQ32-1))))</f>
        <v>200681</v>
      </c>
      <c r="AS32" s="47">
        <f t="shared" si="3"/>
        <v>1</v>
      </c>
      <c r="AT32" s="48">
        <f t="shared" si="4"/>
        <v>40</v>
      </c>
      <c r="AU32" s="64">
        <f>IF($AL$22&lt;&gt;0,0,IF(AO32=0,0,SUM(INDEX(V_XP_4Star,AS32):INDEX(V_XP_4Star,AT32-1))))</f>
        <v>449082</v>
      </c>
    </row>
    <row r="33" spans="2:47" x14ac:dyDescent="0.25">
      <c r="V33" s="8">
        <v>5</v>
      </c>
      <c r="W33" s="145">
        <f>$AH$14</f>
        <v>0</v>
      </c>
      <c r="X33" s="145">
        <f>IF($X$23=5,4,$AE$14)</f>
        <v>0</v>
      </c>
      <c r="Y33" s="23">
        <f>IF($X33=4,0,SUM(INDEX(Rare_Affinity_Lesser,$X33+1):INDEX(Rare_Affinity_Lesser,4)))</f>
        <v>10</v>
      </c>
      <c r="Z33" s="24">
        <f>IF($X33=4,0,SUM(INDEX(Rare_Affinity_Greater,$X33+1):INDEX(Rare_Affinity_Greater,4)))</f>
        <v>4</v>
      </c>
      <c r="AA33" s="198">
        <f>IF($X33=4,0,SUM(INDEX(Rare_Affinity_Superior,$X33+1):INDEX(Rare_Affinity_Superior,4)))</f>
        <v>0</v>
      </c>
      <c r="AB33" s="23">
        <f>IF($W33="",0,IF($X33=4,0,SUM(INDEX(Rare_Arcane_Lesser,$X33+1):INDEX(Rare_Arcane_Lesser,4))))</f>
        <v>5</v>
      </c>
      <c r="AC33" s="24">
        <f>IF($W33="",0,IF($X33=4,0,SUM(INDEX(Rare_Arcane_Greater,$X33+1):INDEX(Rare_Arcane_Greater,4))))</f>
        <v>3</v>
      </c>
      <c r="AD33" s="25">
        <f>IF($W33="",0,IF($X33=4,0,SUM(INDEX(Rare_Arcane_Superior,$X33+1):INDEX(Rare_Arcane_Superior,4))))</f>
        <v>0</v>
      </c>
      <c r="AF33" s="626"/>
      <c r="AG33" s="626"/>
      <c r="AH33" s="626"/>
      <c r="AI33" s="626"/>
      <c r="AJ33" s="8">
        <v>5</v>
      </c>
      <c r="AK33" s="199">
        <f>$AH$14</f>
        <v>0</v>
      </c>
      <c r="AL33" s="23">
        <f>$AE$13</f>
        <v>0</v>
      </c>
      <c r="AM33" s="24">
        <f>$AF$13</f>
        <v>0</v>
      </c>
      <c r="AN33" s="24">
        <f>$AG$13</f>
        <v>30</v>
      </c>
      <c r="AO33" s="25">
        <f>$AH$13</f>
        <v>40</v>
      </c>
      <c r="AP33" s="23">
        <f t="shared" si="1"/>
        <v>1</v>
      </c>
      <c r="AQ33" s="24">
        <f t="shared" si="2"/>
        <v>30</v>
      </c>
      <c r="AR33" s="200">
        <f>IF($AL$23&lt;&gt;0,0,IF(AN33=0,0,SUM(INDEX(V_XP_3Star,AP33):INDEX(V_XP_3Star,AQ33-1))))</f>
        <v>200681</v>
      </c>
      <c r="AS33" s="23">
        <f t="shared" si="3"/>
        <v>1</v>
      </c>
      <c r="AT33" s="24">
        <f t="shared" si="4"/>
        <v>40</v>
      </c>
      <c r="AU33" s="200">
        <f>IF($AL$23&lt;&gt;0,0,IF(AO33=0,0,SUM(INDEX(V_XP_4Star,AS33):INDEX(V_XP_4Star,AT33-1))))</f>
        <v>449082</v>
      </c>
    </row>
    <row r="34" spans="2:47" ht="15" customHeight="1" x14ac:dyDescent="0.25">
      <c r="V34" s="8">
        <v>6</v>
      </c>
      <c r="W34" s="40">
        <f>$AL$14</f>
        <v>0</v>
      </c>
      <c r="X34" s="40">
        <f>IF($X$23=5,4,$AI$14)</f>
        <v>0</v>
      </c>
      <c r="Y34" s="35">
        <f>IF($X34=4,0,SUM(INDEX(Rare_Affinity_Lesser,$X34+1):INDEX(Rare_Affinity_Lesser,4)))</f>
        <v>10</v>
      </c>
      <c r="Z34" s="36">
        <f>IF($X34=4,0,SUM(INDEX(Rare_Affinity_Greater,$X34+1):INDEX(Rare_Affinity_Greater,4)))</f>
        <v>4</v>
      </c>
      <c r="AA34" s="44">
        <f>IF($X34=4,0,SUM(INDEX(Rare_Affinity_Superior,$X34+1):INDEX(Rare_Affinity_Superior,4)))</f>
        <v>0</v>
      </c>
      <c r="AB34" s="35">
        <f>IF($W34="",0,IF($X34=4,0,SUM(INDEX(Rare_Arcane_Lesser,$X34+1):INDEX(Rare_Arcane_Lesser,4))))</f>
        <v>5</v>
      </c>
      <c r="AC34" s="36">
        <f>IF($W34="",0,IF($X34=4,0,SUM(INDEX(Rare_Arcane_Greater,$X34+1):INDEX(Rare_Arcane_Greater,4))))</f>
        <v>3</v>
      </c>
      <c r="AD34" s="37">
        <f>IF($W34="",0,IF($X34=4,0,SUM(INDEX(Rare_Arcane_Superior,$X34+1):INDEX(Rare_Arcane_Superior,4))))</f>
        <v>0</v>
      </c>
      <c r="AF34" s="626"/>
      <c r="AG34" s="626"/>
      <c r="AH34" s="626"/>
      <c r="AI34" s="626"/>
      <c r="AJ34" s="8">
        <v>6</v>
      </c>
      <c r="AK34" s="157">
        <f>$AL$14</f>
        <v>0</v>
      </c>
      <c r="AL34" s="35">
        <f>$AI$13</f>
        <v>0</v>
      </c>
      <c r="AM34" s="36">
        <f>$AJ$13</f>
        <v>0</v>
      </c>
      <c r="AN34" s="36">
        <f>$AK$13</f>
        <v>30</v>
      </c>
      <c r="AO34" s="37">
        <f>$AL$13</f>
        <v>40</v>
      </c>
      <c r="AP34" s="35">
        <f t="shared" si="1"/>
        <v>1</v>
      </c>
      <c r="AQ34" s="36">
        <f t="shared" si="2"/>
        <v>30</v>
      </c>
      <c r="AR34" s="38">
        <f>IF($AL$23&lt;&gt;0,0,IF(AN34=0,0,SUM(INDEX(V_XP_3Star,AP34):INDEX(V_XP_3Star,AQ34-1))))</f>
        <v>200681</v>
      </c>
      <c r="AS34" s="35">
        <f t="shared" si="3"/>
        <v>1</v>
      </c>
      <c r="AT34" s="36">
        <f t="shared" si="4"/>
        <v>40</v>
      </c>
      <c r="AU34" s="38">
        <f>IF($AL$23&lt;&gt;0,0,IF(AO34=0,0,SUM(INDEX(V_XP_4Star,AS34):INDEX(V_XP_4Star,AT34-1))))</f>
        <v>449082</v>
      </c>
    </row>
    <row r="35" spans="2:47" x14ac:dyDescent="0.25">
      <c r="V35" s="8">
        <v>7</v>
      </c>
      <c r="W35" s="40">
        <f>$AH$18</f>
        <v>0</v>
      </c>
      <c r="X35" s="40">
        <f>IF($X$23=5,4,$AE$18)</f>
        <v>0</v>
      </c>
      <c r="Y35" s="35">
        <f>IF($X35=4,0,SUM(INDEX(Rare_Affinity_Lesser,$X35+1):INDEX(Rare_Affinity_Lesser,4)))</f>
        <v>10</v>
      </c>
      <c r="Z35" s="36">
        <f>IF($X35=4,0,SUM(INDEX(Rare_Affinity_Greater,$X35+1):INDEX(Rare_Affinity_Greater,4)))</f>
        <v>4</v>
      </c>
      <c r="AA35" s="44">
        <f>IF($X35=4,0,SUM(INDEX(Rare_Affinity_Superior,$X35+1):INDEX(Rare_Affinity_Superior,4)))</f>
        <v>0</v>
      </c>
      <c r="AB35" s="35">
        <f>IF($W35="",0,IF($X35=4,0,SUM(INDEX(Rare_Arcane_Lesser,$X35+1):INDEX(Rare_Arcane_Lesser,4))))</f>
        <v>5</v>
      </c>
      <c r="AC35" s="36">
        <f>IF($W35="",0,IF($X35=4,0,SUM(INDEX(Rare_Arcane_Greater,$X35+1):INDEX(Rare_Arcane_Greater,4))))</f>
        <v>3</v>
      </c>
      <c r="AD35" s="37">
        <f>IF($W35="",0,IF($X35=4,0,SUM(INDEX(Rare_Arcane_Superior,$X35+1):INDEX(Rare_Arcane_Superior,4))))</f>
        <v>0</v>
      </c>
      <c r="AF35" s="626"/>
      <c r="AG35" s="626"/>
      <c r="AH35" s="626"/>
      <c r="AI35" s="626"/>
      <c r="AJ35" s="8">
        <v>7</v>
      </c>
      <c r="AK35" s="157">
        <f>$AH$18</f>
        <v>0</v>
      </c>
      <c r="AL35" s="35">
        <f>$AE$17</f>
        <v>0</v>
      </c>
      <c r="AM35" s="36">
        <f>$AF$17</f>
        <v>0</v>
      </c>
      <c r="AN35" s="36">
        <f>$AG$17</f>
        <v>30</v>
      </c>
      <c r="AO35" s="37">
        <f>$AH$17</f>
        <v>40</v>
      </c>
      <c r="AP35" s="35">
        <f t="shared" si="1"/>
        <v>1</v>
      </c>
      <c r="AQ35" s="36">
        <f t="shared" si="2"/>
        <v>30</v>
      </c>
      <c r="AR35" s="38">
        <f>IF($AL$23&lt;&gt;0,0,IF(AN35=0,0,SUM(INDEX(V_XP_3Star,AP35):INDEX(V_XP_3Star,AQ35-1))))</f>
        <v>200681</v>
      </c>
      <c r="AS35" s="35">
        <f t="shared" si="3"/>
        <v>1</v>
      </c>
      <c r="AT35" s="36">
        <f t="shared" si="4"/>
        <v>40</v>
      </c>
      <c r="AU35" s="38">
        <f>IF($AL$23&lt;&gt;0,0,IF(AO35=0,0,SUM(INDEX(V_XP_4Star,AS35):INDEX(V_XP_4Star,AT35-1))))</f>
        <v>449082</v>
      </c>
    </row>
    <row r="36" spans="2:47" ht="15.75" thickBot="1" x14ac:dyDescent="0.3">
      <c r="V36" s="8">
        <v>8</v>
      </c>
      <c r="W36" s="170">
        <f>$AL$18</f>
        <v>0</v>
      </c>
      <c r="X36" s="170">
        <f>IF($X$23=5,4,$AI$18)</f>
        <v>0</v>
      </c>
      <c r="Y36" s="47">
        <f>IF($X36=4,0,SUM(INDEX(Rare_Affinity_Lesser,$X36+1):INDEX(Rare_Affinity_Lesser,4)))</f>
        <v>10</v>
      </c>
      <c r="Z36" s="48">
        <f>IF($X36=4,0,SUM(INDEX(Rare_Affinity_Greater,$X36+1):INDEX(Rare_Affinity_Greater,4)))</f>
        <v>4</v>
      </c>
      <c r="AA36" s="201">
        <f>IF($X36=4,0,SUM(INDEX(Rare_Affinity_Superior,$X36+1):INDEX(Rare_Affinity_Superior,4)))</f>
        <v>0</v>
      </c>
      <c r="AB36" s="47">
        <f>IF($W36="",0,IF($X36=4,0,SUM(INDEX(Rare_Arcane_Lesser,$X36+1):INDEX(Rare_Arcane_Lesser,4))))</f>
        <v>5</v>
      </c>
      <c r="AC36" s="48">
        <f>IF($W36="",0,IF($X36=4,0,SUM(INDEX(Rare_Arcane_Greater,$X36+1):INDEX(Rare_Arcane_Greater,4))))</f>
        <v>3</v>
      </c>
      <c r="AD36" s="49">
        <f>IF($W36="",0,IF($X36=4,0,SUM(INDEX(Rare_Arcane_Superior,$X36+1):INDEX(Rare_Arcane_Superior,4))))</f>
        <v>0</v>
      </c>
      <c r="AF36" s="626"/>
      <c r="AG36" s="626"/>
      <c r="AH36" s="626"/>
      <c r="AI36" s="626"/>
      <c r="AJ36" s="8">
        <v>8</v>
      </c>
      <c r="AK36" s="171">
        <f>$AL$18</f>
        <v>0</v>
      </c>
      <c r="AL36" s="47">
        <f>$AI$17</f>
        <v>0</v>
      </c>
      <c r="AM36" s="48">
        <f>$AJ$17</f>
        <v>0</v>
      </c>
      <c r="AN36" s="48">
        <f>$AK$17</f>
        <v>30</v>
      </c>
      <c r="AO36" s="49">
        <f>$AL$17</f>
        <v>40</v>
      </c>
      <c r="AP36" s="47">
        <f t="shared" si="1"/>
        <v>1</v>
      </c>
      <c r="AQ36" s="48">
        <f t="shared" si="2"/>
        <v>30</v>
      </c>
      <c r="AR36" s="64">
        <f>IF($AL$23&lt;&gt;0,0,IF(AN36=0,0,SUM(INDEX(V_XP_3Star,AP36):INDEX(V_XP_3Star,AQ36-1))))</f>
        <v>200681</v>
      </c>
      <c r="AS36" s="47">
        <f t="shared" si="3"/>
        <v>1</v>
      </c>
      <c r="AT36" s="48">
        <f t="shared" si="4"/>
        <v>40</v>
      </c>
      <c r="AU36" s="64">
        <f>IF($AL$23&lt;&gt;0,0,IF(AO36=0,0,SUM(INDEX(V_XP_4Star,AS36):INDEX(V_XP_4Star,AT36-1))))</f>
        <v>449082</v>
      </c>
    </row>
    <row r="37" spans="2:47" x14ac:dyDescent="0.25">
      <c r="V37" s="8">
        <v>9</v>
      </c>
      <c r="W37" s="145">
        <f>$AP$14</f>
        <v>0</v>
      </c>
      <c r="X37" s="145">
        <f>IF($X$24=5,4,$AM$14)</f>
        <v>0</v>
      </c>
      <c r="Y37" s="23">
        <f>IF($X37=4,0,SUM(INDEX(Rare_Affinity_Lesser,$X37+1):INDEX(Rare_Affinity_Lesser,4)))</f>
        <v>10</v>
      </c>
      <c r="Z37" s="24">
        <f>IF($X37=4,0,SUM(INDEX(Rare_Affinity_Greater,$X37+1):INDEX(Rare_Affinity_Greater,4)))</f>
        <v>4</v>
      </c>
      <c r="AA37" s="198">
        <f>IF($X37=4,0,SUM(INDEX(Rare_Affinity_Superior,$X37+1):INDEX(Rare_Affinity_Superior,4)))</f>
        <v>0</v>
      </c>
      <c r="AB37" s="23">
        <f>IF($W37="",0,IF($X37=4,0,SUM(INDEX(Rare_Arcane_Lesser,$X37+1):INDEX(Rare_Arcane_Lesser,4))))</f>
        <v>5</v>
      </c>
      <c r="AC37" s="24">
        <f>IF($W37="",0,IF($X37=4,0,SUM(INDEX(Rare_Arcane_Greater,$X37+1):INDEX(Rare_Arcane_Greater,4))))</f>
        <v>3</v>
      </c>
      <c r="AD37" s="25">
        <f>IF($W37="",0,IF($X37=4,0,SUM(INDEX(Rare_Arcane_Superior,$X37+1):INDEX(Rare_Arcane_Superior,4))))</f>
        <v>0</v>
      </c>
      <c r="AF37" s="626"/>
      <c r="AG37" s="626"/>
      <c r="AH37" s="626"/>
      <c r="AI37" s="626"/>
      <c r="AJ37" s="8">
        <v>9</v>
      </c>
      <c r="AK37" s="199">
        <f>$AP$14</f>
        <v>0</v>
      </c>
      <c r="AL37" s="23">
        <f>$AM$13</f>
        <v>0</v>
      </c>
      <c r="AM37" s="24">
        <f>$AN$13</f>
        <v>0</v>
      </c>
      <c r="AN37" s="24">
        <f>$AO$13</f>
        <v>30</v>
      </c>
      <c r="AO37" s="25">
        <f>$AP$13</f>
        <v>40</v>
      </c>
      <c r="AP37" s="23">
        <f t="shared" si="1"/>
        <v>1</v>
      </c>
      <c r="AQ37" s="24">
        <f t="shared" si="2"/>
        <v>30</v>
      </c>
      <c r="AR37" s="200">
        <f>IF($AL$24&lt;&gt;0,0,IF(AN37=0,0,SUM(INDEX(V_XP_3Star,AP37):INDEX(V_XP_3Star,AQ37-1))))</f>
        <v>200681</v>
      </c>
      <c r="AS37" s="23">
        <f t="shared" si="3"/>
        <v>1</v>
      </c>
      <c r="AT37" s="24">
        <f t="shared" si="4"/>
        <v>40</v>
      </c>
      <c r="AU37" s="200">
        <f>IF($AL$24&lt;&gt;0,0,IF(AO37=0,0,SUM(INDEX(V_XP_4Star,AS37):INDEX(V_XP_4Star,AT37-1))))</f>
        <v>449082</v>
      </c>
    </row>
    <row r="38" spans="2:47" ht="15" customHeight="1" x14ac:dyDescent="0.25">
      <c r="B38" s="202"/>
      <c r="C38" s="202"/>
      <c r="D38" s="202"/>
      <c r="E38" s="202"/>
      <c r="V38" s="8">
        <v>10</v>
      </c>
      <c r="W38" s="40">
        <f>$AT$14</f>
        <v>0</v>
      </c>
      <c r="X38" s="40">
        <f>IF($X$24=5,4,$AQ$14)</f>
        <v>0</v>
      </c>
      <c r="Y38" s="35">
        <f>IF($X38=4,0,SUM(INDEX(Rare_Affinity_Lesser,$X38+1):INDEX(Rare_Affinity_Lesser,4)))</f>
        <v>10</v>
      </c>
      <c r="Z38" s="36">
        <f>IF($X38=4,0,SUM(INDEX(Rare_Affinity_Greater,$X38+1):INDEX(Rare_Affinity_Greater,4)))</f>
        <v>4</v>
      </c>
      <c r="AA38" s="44">
        <f>IF($X38=4,0,SUM(INDEX(Rare_Affinity_Superior,$X38+1):INDEX(Rare_Affinity_Superior,4)))</f>
        <v>0</v>
      </c>
      <c r="AB38" s="35">
        <f>IF($W38="",0,IF($X38=4,0,SUM(INDEX(Rare_Arcane_Lesser,$X38+1):INDEX(Rare_Arcane_Lesser,4))))</f>
        <v>5</v>
      </c>
      <c r="AC38" s="36">
        <f>IF($W38="",0,IF($X38=4,0,SUM(INDEX(Rare_Arcane_Greater,$X38+1):INDEX(Rare_Arcane_Greater,4))))</f>
        <v>3</v>
      </c>
      <c r="AD38" s="37">
        <f>IF($W38="",0,IF($X38=4,0,SUM(INDEX(Rare_Arcane_Superior,$X38+1):INDEX(Rare_Arcane_Superior,4))))</f>
        <v>0</v>
      </c>
      <c r="AF38" s="626"/>
      <c r="AG38" s="626"/>
      <c r="AH38" s="626"/>
      <c r="AI38" s="626"/>
      <c r="AJ38" s="8">
        <v>10</v>
      </c>
      <c r="AK38" s="157">
        <f>$AT$14</f>
        <v>0</v>
      </c>
      <c r="AL38" s="35">
        <f>$AQ$13</f>
        <v>0</v>
      </c>
      <c r="AM38" s="36">
        <f>$AR$13</f>
        <v>0</v>
      </c>
      <c r="AN38" s="36">
        <f>$AS$13</f>
        <v>30</v>
      </c>
      <c r="AO38" s="37">
        <f>$AT$13</f>
        <v>40</v>
      </c>
      <c r="AP38" s="35">
        <f t="shared" si="1"/>
        <v>1</v>
      </c>
      <c r="AQ38" s="36">
        <f t="shared" si="2"/>
        <v>30</v>
      </c>
      <c r="AR38" s="38">
        <f>IF($AL$24&lt;&gt;0,0,IF(AN38=0,0,SUM(INDEX(V_XP_3Star,AP38):INDEX(V_XP_3Star,AQ38-1))))</f>
        <v>200681</v>
      </c>
      <c r="AS38" s="35">
        <f t="shared" si="3"/>
        <v>1</v>
      </c>
      <c r="AT38" s="36">
        <f t="shared" si="4"/>
        <v>40</v>
      </c>
      <c r="AU38" s="38">
        <f>IF($AL$24&lt;&gt;0,0,IF(AO38=0,0,SUM(INDEX(V_XP_4Star,AS38):INDEX(V_XP_4Star,AT38-1))))</f>
        <v>449082</v>
      </c>
    </row>
    <row r="39" spans="2:47" ht="15" customHeight="1" x14ac:dyDescent="0.25">
      <c r="B39" s="202"/>
      <c r="C39" s="202"/>
      <c r="D39" s="202"/>
      <c r="E39" s="202"/>
      <c r="V39" s="8">
        <v>11</v>
      </c>
      <c r="W39" s="40">
        <f>$AP$18</f>
        <v>0</v>
      </c>
      <c r="X39" s="40">
        <f>IF($X$24=5,4,$AM$18)</f>
        <v>0</v>
      </c>
      <c r="Y39" s="35">
        <f>IF($X39=4,0,SUM(INDEX(Rare_Affinity_Lesser,$X39+1):INDEX(Rare_Affinity_Lesser,4)))</f>
        <v>10</v>
      </c>
      <c r="Z39" s="36">
        <f>IF($X39=4,0,SUM(INDEX(Rare_Affinity_Greater,$X39+1):INDEX(Rare_Affinity_Greater,4)))</f>
        <v>4</v>
      </c>
      <c r="AA39" s="44">
        <f>IF($X39=4,0,SUM(INDEX(Rare_Affinity_Superior,$X39+1):INDEX(Rare_Affinity_Superior,4)))</f>
        <v>0</v>
      </c>
      <c r="AB39" s="35">
        <f>IF($W39="",0,IF($X39=4,0,SUM(INDEX(Rare_Arcane_Lesser,$X39+1):INDEX(Rare_Arcane_Lesser,4))))</f>
        <v>5</v>
      </c>
      <c r="AC39" s="36">
        <f>IF($W39="",0,IF($X39=4,0,SUM(INDEX(Rare_Arcane_Greater,$X39+1):INDEX(Rare_Arcane_Greater,4))))</f>
        <v>3</v>
      </c>
      <c r="AD39" s="37">
        <f>IF($W39="",0,IF($X39=4,0,SUM(INDEX(Rare_Arcane_Superior,$X39+1):INDEX(Rare_Arcane_Superior,4))))</f>
        <v>0</v>
      </c>
      <c r="AF39" s="626"/>
      <c r="AG39" s="626"/>
      <c r="AH39" s="626"/>
      <c r="AI39" s="626"/>
      <c r="AJ39" s="8">
        <v>11</v>
      </c>
      <c r="AK39" s="157">
        <f>$AP$18</f>
        <v>0</v>
      </c>
      <c r="AL39" s="35">
        <f>$AM$17</f>
        <v>0</v>
      </c>
      <c r="AM39" s="36">
        <f>$AN$17</f>
        <v>0</v>
      </c>
      <c r="AN39" s="36">
        <f>$AO$17</f>
        <v>30</v>
      </c>
      <c r="AO39" s="37">
        <f>$AP$17</f>
        <v>40</v>
      </c>
      <c r="AP39" s="35">
        <f t="shared" si="1"/>
        <v>1</v>
      </c>
      <c r="AQ39" s="36">
        <f t="shared" si="2"/>
        <v>30</v>
      </c>
      <c r="AR39" s="38">
        <f>IF($AL$24&lt;&gt;0,0,IF(AN39=0,0,SUM(INDEX(V_XP_3Star,AP39):INDEX(V_XP_3Star,AQ39-1))))</f>
        <v>200681</v>
      </c>
      <c r="AS39" s="35">
        <f t="shared" si="3"/>
        <v>1</v>
      </c>
      <c r="AT39" s="36">
        <f t="shared" si="4"/>
        <v>40</v>
      </c>
      <c r="AU39" s="38">
        <f>IF($AL$24&lt;&gt;0,0,IF(AO39=0,0,SUM(INDEX(V_XP_4Star,AS39):INDEX(V_XP_4Star,AT39-1))))</f>
        <v>449082</v>
      </c>
    </row>
    <row r="40" spans="2:47" ht="15.75" thickBot="1" x14ac:dyDescent="0.3">
      <c r="V40" s="8">
        <v>12</v>
      </c>
      <c r="W40" s="170">
        <f>$AT$18</f>
        <v>0</v>
      </c>
      <c r="X40" s="170">
        <f>IF($X$24=5,4,$AQ$18)</f>
        <v>0</v>
      </c>
      <c r="Y40" s="47">
        <f>IF($X40=4,0,SUM(INDEX(Rare_Affinity_Lesser,$X40+1):INDEX(Rare_Affinity_Lesser,4)))</f>
        <v>10</v>
      </c>
      <c r="Z40" s="48">
        <f>IF($X40=4,0,SUM(INDEX(Rare_Affinity_Greater,$X40+1):INDEX(Rare_Affinity_Greater,4)))</f>
        <v>4</v>
      </c>
      <c r="AA40" s="201">
        <f>IF($X40=4,0,SUM(INDEX(Rare_Affinity_Superior,$X40+1):INDEX(Rare_Affinity_Superior,4)))</f>
        <v>0</v>
      </c>
      <c r="AB40" s="47">
        <f>IF($W40="",0,IF($X40=4,0,SUM(INDEX(Rare_Arcane_Lesser,$X40+1):INDEX(Rare_Arcane_Lesser,4))))</f>
        <v>5</v>
      </c>
      <c r="AC40" s="48">
        <f>IF($W40="",0,IF($X40=4,0,SUM(INDEX(Rare_Arcane_Greater,$X40+1):INDEX(Rare_Arcane_Greater,4))))</f>
        <v>3</v>
      </c>
      <c r="AD40" s="49">
        <f>IF($W40="",0,IF($X40=4,0,SUM(INDEX(Rare_Arcane_Superior,$X40+1):INDEX(Rare_Arcane_Superior,4))))</f>
        <v>0</v>
      </c>
      <c r="AF40" s="626"/>
      <c r="AG40" s="626"/>
      <c r="AH40" s="626"/>
      <c r="AI40" s="626"/>
      <c r="AJ40" s="8">
        <v>12</v>
      </c>
      <c r="AK40" s="171">
        <f>$AT$18</f>
        <v>0</v>
      </c>
      <c r="AL40" s="47">
        <f>$AQ$17</f>
        <v>0</v>
      </c>
      <c r="AM40" s="48">
        <f>$AR$17</f>
        <v>0</v>
      </c>
      <c r="AN40" s="48">
        <f>$AS$17</f>
        <v>30</v>
      </c>
      <c r="AO40" s="49">
        <f>$AT$17</f>
        <v>40</v>
      </c>
      <c r="AP40" s="47">
        <f t="shared" si="1"/>
        <v>1</v>
      </c>
      <c r="AQ40" s="48">
        <f t="shared" si="2"/>
        <v>30</v>
      </c>
      <c r="AR40" s="64">
        <f>IF($AL$24&lt;&gt;0,0,IF(AN40=0,0,SUM(INDEX(V_XP_3Star,AP40):INDEX(V_XP_3Star,AQ40-1))))</f>
        <v>200681</v>
      </c>
      <c r="AS40" s="47">
        <f t="shared" si="3"/>
        <v>1</v>
      </c>
      <c r="AT40" s="48">
        <f t="shared" si="4"/>
        <v>40</v>
      </c>
      <c r="AU40" s="64">
        <f>IF($AL$24&lt;&gt;0,0,IF(AO40=0,0,SUM(INDEX(V_XP_4Star,AS40):INDEX(V_XP_4Star,AT40-1))))</f>
        <v>449082</v>
      </c>
    </row>
    <row r="41" spans="2:47" x14ac:dyDescent="0.25">
      <c r="V41" s="8">
        <v>13</v>
      </c>
      <c r="W41" s="145">
        <f>$AX$14</f>
        <v>0</v>
      </c>
      <c r="X41" s="145">
        <f>IF($X$25=5,4,$AU$14)</f>
        <v>0</v>
      </c>
      <c r="Y41" s="23">
        <f>IF($X41=4,0,SUM(INDEX(Rare_Affinity_Lesser,$X41+1):INDEX(Rare_Affinity_Lesser,4)))</f>
        <v>10</v>
      </c>
      <c r="Z41" s="24">
        <f>IF($X41=4,0,SUM(INDEX(Rare_Affinity_Greater,$X41+1):INDEX(Rare_Affinity_Greater,4)))</f>
        <v>4</v>
      </c>
      <c r="AA41" s="198">
        <f>IF($X41=4,0,SUM(INDEX(Rare_Affinity_Superior,$X41+1):INDEX(Rare_Affinity_Superior,4)))</f>
        <v>0</v>
      </c>
      <c r="AB41" s="29">
        <f>IF($W41="",0,IF($X41=4,0,SUM(INDEX(Rare_Arcane_Lesser,$X41+1):INDEX(Rare_Arcane_Lesser,4))))</f>
        <v>5</v>
      </c>
      <c r="AC41" s="30">
        <f>IF($W41="",0,IF($X41=4,0,SUM(INDEX(Rare_Arcane_Greater,$X41+1):INDEX(Rare_Arcane_Greater,4))))</f>
        <v>3</v>
      </c>
      <c r="AD41" s="28">
        <f>IF($W41="",0,IF($X41=4,0,SUM(INDEX(Rare_Arcane_Superior,$X41+1):INDEX(Rare_Arcane_Superior,4))))</f>
        <v>0</v>
      </c>
      <c r="AF41" s="626"/>
      <c r="AG41" s="626"/>
      <c r="AH41" s="626"/>
      <c r="AI41" s="626"/>
      <c r="AJ41" s="8">
        <v>13</v>
      </c>
      <c r="AK41" s="146">
        <f>$AX$14</f>
        <v>0</v>
      </c>
      <c r="AL41" s="29">
        <f>$AU$13</f>
        <v>0</v>
      </c>
      <c r="AM41" s="30">
        <f>$AV$13</f>
        <v>0</v>
      </c>
      <c r="AN41" s="30">
        <f>$AW$13</f>
        <v>30</v>
      </c>
      <c r="AO41" s="28">
        <f>$AX$13</f>
        <v>40</v>
      </c>
      <c r="AP41" s="29">
        <f t="shared" si="1"/>
        <v>1</v>
      </c>
      <c r="AQ41" s="30">
        <f t="shared" si="2"/>
        <v>30</v>
      </c>
      <c r="AR41" s="203">
        <f>IF($AL$25&lt;&gt;0,0,IF(AN41=0,0,SUM(INDEX(V_XP_3Star,AP41):INDEX(V_XP_3Star,AQ41-1))))</f>
        <v>0</v>
      </c>
      <c r="AS41" s="29">
        <f t="shared" si="3"/>
        <v>1</v>
      </c>
      <c r="AT41" s="30">
        <f t="shared" si="4"/>
        <v>40</v>
      </c>
      <c r="AU41" s="203">
        <f>IF($AL$25&lt;&gt;0,0,IF(AO41=0,0,SUM(INDEX(V_XP_4Star,AS41):INDEX(V_XP_4Star,AT41-1))))</f>
        <v>0</v>
      </c>
    </row>
    <row r="42" spans="2:47" x14ac:dyDescent="0.25">
      <c r="V42" s="8">
        <v>14</v>
      </c>
      <c r="W42" s="40">
        <f>$BB$14</f>
        <v>0</v>
      </c>
      <c r="X42" s="40">
        <f>IF($X$25=5,4,$AY$14)</f>
        <v>0</v>
      </c>
      <c r="Y42" s="35">
        <f>IF($X42=4,0,SUM(INDEX(Rare_Affinity_Lesser,$X42+1):INDEX(Rare_Affinity_Lesser,4)))</f>
        <v>10</v>
      </c>
      <c r="Z42" s="36">
        <f>IF($X42=4,0,SUM(INDEX(Rare_Affinity_Greater,$X42+1):INDEX(Rare_Affinity_Greater,4)))</f>
        <v>4</v>
      </c>
      <c r="AA42" s="44">
        <f>IF($X42=4,0,SUM(INDEX(Rare_Affinity_Superior,$X42+1):INDEX(Rare_Affinity_Superior,4)))</f>
        <v>0</v>
      </c>
      <c r="AB42" s="35">
        <f>IF($W42="",0,IF($X42=4,0,SUM(INDEX(Rare_Arcane_Lesser,$X42+1):INDEX(Rare_Arcane_Lesser,4))))</f>
        <v>5</v>
      </c>
      <c r="AC42" s="36">
        <f>IF($W42="",0,IF($X42=4,0,SUM(INDEX(Rare_Arcane_Greater,$X42+1):INDEX(Rare_Arcane_Greater,4))))</f>
        <v>3</v>
      </c>
      <c r="AD42" s="37">
        <f>IF($W42="",0,IF($X42=4,0,SUM(INDEX(Rare_Arcane_Superior,$X42+1):INDEX(Rare_Arcane_Superior,4))))</f>
        <v>0</v>
      </c>
      <c r="AJ42" s="8">
        <v>14</v>
      </c>
      <c r="AK42" s="157">
        <f>$BB$14</f>
        <v>0</v>
      </c>
      <c r="AL42" s="35">
        <f>$AY$13</f>
        <v>0</v>
      </c>
      <c r="AM42" s="36">
        <f>$AZ$13</f>
        <v>0</v>
      </c>
      <c r="AN42" s="36">
        <f>$BA$13</f>
        <v>30</v>
      </c>
      <c r="AO42" s="37">
        <f>$BB$13</f>
        <v>40</v>
      </c>
      <c r="AP42" s="35">
        <f t="shared" si="1"/>
        <v>1</v>
      </c>
      <c r="AQ42" s="36">
        <f t="shared" si="2"/>
        <v>30</v>
      </c>
      <c r="AR42" s="38">
        <f>IF($AL$25&lt;&gt;0,0,IF(AN42=0,0,SUM(INDEX(V_XP_3Star,AP42):INDEX(V_XP_3Star,AQ42-1))))</f>
        <v>0</v>
      </c>
      <c r="AS42" s="35">
        <f t="shared" si="3"/>
        <v>1</v>
      </c>
      <c r="AT42" s="36">
        <f t="shared" si="4"/>
        <v>40</v>
      </c>
      <c r="AU42" s="38">
        <f>IF($AL$25&lt;&gt;0,0,IF(AO42=0,0,SUM(INDEX(V_XP_4Star,AS42):INDEX(V_XP_4Star,AT42-1))))</f>
        <v>0</v>
      </c>
    </row>
    <row r="43" spans="2:47" x14ac:dyDescent="0.25">
      <c r="V43" s="8">
        <v>15</v>
      </c>
      <c r="W43" s="40">
        <f>$AX$18</f>
        <v>0</v>
      </c>
      <c r="X43" s="40">
        <f>IF($X$25=5,4,$AU$18)</f>
        <v>0</v>
      </c>
      <c r="Y43" s="35">
        <f>IF($X43=4,0,SUM(INDEX(Rare_Affinity_Lesser,$X43+1):INDEX(Rare_Affinity_Lesser,4)))</f>
        <v>10</v>
      </c>
      <c r="Z43" s="36">
        <f>IF($X43=4,0,SUM(INDEX(Rare_Affinity_Greater,$X43+1):INDEX(Rare_Affinity_Greater,4)))</f>
        <v>4</v>
      </c>
      <c r="AA43" s="44">
        <f>IF($X43=4,0,SUM(INDEX(Rare_Affinity_Superior,$X43+1):INDEX(Rare_Affinity_Superior,4)))</f>
        <v>0</v>
      </c>
      <c r="AB43" s="35">
        <f>IF($W43="",0,IF($X43=4,0,SUM(INDEX(Rare_Arcane_Lesser,$X43+1):INDEX(Rare_Arcane_Lesser,4))))</f>
        <v>5</v>
      </c>
      <c r="AC43" s="36">
        <f>IF($W43="",0,IF($X43=4,0,SUM(INDEX(Rare_Arcane_Greater,$X43+1):INDEX(Rare_Arcane_Greater,4))))</f>
        <v>3</v>
      </c>
      <c r="AD43" s="37">
        <f>IF($W43="",0,IF($X43=4,0,SUM(INDEX(Rare_Arcane_Superior,$X43+1):INDEX(Rare_Arcane_Superior,4))))</f>
        <v>0</v>
      </c>
      <c r="AJ43" s="8">
        <v>15</v>
      </c>
      <c r="AK43" s="157">
        <f>$AX$18</f>
        <v>0</v>
      </c>
      <c r="AL43" s="35">
        <f>$AU$17</f>
        <v>0</v>
      </c>
      <c r="AM43" s="36">
        <f>$AV$17</f>
        <v>0</v>
      </c>
      <c r="AN43" s="36">
        <f>$AW$17</f>
        <v>30</v>
      </c>
      <c r="AO43" s="37">
        <f>$AX$17</f>
        <v>40</v>
      </c>
      <c r="AP43" s="35">
        <f t="shared" si="1"/>
        <v>1</v>
      </c>
      <c r="AQ43" s="36">
        <f t="shared" si="2"/>
        <v>30</v>
      </c>
      <c r="AR43" s="38">
        <f>IF($AL$25&lt;&gt;0,0,IF(AN43=0,0,SUM(INDEX(V_XP_3Star,AP43):INDEX(V_XP_3Star,AQ43-1))))</f>
        <v>0</v>
      </c>
      <c r="AS43" s="35">
        <f t="shared" si="3"/>
        <v>1</v>
      </c>
      <c r="AT43" s="36">
        <f t="shared" si="4"/>
        <v>40</v>
      </c>
      <c r="AU43" s="38">
        <f>IF($AL$25&lt;&gt;0,0,IF(AO43=0,0,SUM(INDEX(V_XP_4Star,AS43):INDEX(V_XP_4Star,AT43-1))))</f>
        <v>0</v>
      </c>
    </row>
    <row r="44" spans="2:47" ht="15.75" thickBot="1" x14ac:dyDescent="0.3">
      <c r="V44" s="8">
        <v>16</v>
      </c>
      <c r="W44" s="170">
        <f>$BB$18</f>
        <v>0</v>
      </c>
      <c r="X44" s="170">
        <f>IF($X$25=5,4,$AY$18)</f>
        <v>0</v>
      </c>
      <c r="Y44" s="47">
        <f>IF($X44=4,0,SUM(INDEX(Rare_Affinity_Lesser,$X44+1):INDEX(Rare_Affinity_Lesser,4)))</f>
        <v>10</v>
      </c>
      <c r="Z44" s="48">
        <f>IF($X44=4,0,SUM(INDEX(Rare_Affinity_Greater,$X44+1):INDEX(Rare_Affinity_Greater,4)))</f>
        <v>4</v>
      </c>
      <c r="AA44" s="201">
        <f>IF($X44=4,0,SUM(INDEX(Rare_Affinity_Superior,$X44+1):INDEX(Rare_Affinity_Superior,4)))</f>
        <v>0</v>
      </c>
      <c r="AB44" s="47">
        <f>IF($W44="",0,IF($X44=4,0,SUM(INDEX(Rare_Arcane_Lesser,$X44+1):INDEX(Rare_Arcane_Lesser,4))))</f>
        <v>5</v>
      </c>
      <c r="AC44" s="48">
        <f>IF($W44="",0,IF($X44=4,0,SUM(INDEX(Rare_Arcane_Greater,$X44+1):INDEX(Rare_Arcane_Greater,4))))</f>
        <v>3</v>
      </c>
      <c r="AD44" s="49">
        <f>IF($W44="",0,IF($X44=4,0,SUM(INDEX(Rare_Arcane_Superior,$X44+1):INDEX(Rare_Arcane_Superior,4))))</f>
        <v>0</v>
      </c>
      <c r="AJ44" s="8">
        <v>16</v>
      </c>
      <c r="AK44" s="171">
        <f>$BB$18</f>
        <v>0</v>
      </c>
      <c r="AL44" s="47">
        <f>$AY$17</f>
        <v>0</v>
      </c>
      <c r="AM44" s="48">
        <f>$AZ$17</f>
        <v>0</v>
      </c>
      <c r="AN44" s="48">
        <f>$BA$17</f>
        <v>30</v>
      </c>
      <c r="AO44" s="49">
        <f>$BB$17</f>
        <v>40</v>
      </c>
      <c r="AP44" s="47">
        <f t="shared" si="1"/>
        <v>1</v>
      </c>
      <c r="AQ44" s="48">
        <f t="shared" si="2"/>
        <v>30</v>
      </c>
      <c r="AR44" s="64">
        <f>IF($AL$25&lt;&gt;0,0,IF(AN44=0,0,SUM(INDEX(V_XP_3Star,AP44):INDEX(V_XP_3Star,AQ44-1))))</f>
        <v>0</v>
      </c>
      <c r="AS44" s="47">
        <f t="shared" si="3"/>
        <v>1</v>
      </c>
      <c r="AT44" s="48">
        <f t="shared" si="4"/>
        <v>40</v>
      </c>
      <c r="AU44" s="64">
        <f>IF($AL$25&lt;&gt;0,0,IF(AO44=0,0,SUM(INDEX(V_XP_4Star,AS44):INDEX(V_XP_4Star,AT44-1))))</f>
        <v>0</v>
      </c>
    </row>
  </sheetData>
  <mergeCells count="119">
    <mergeCell ref="AF29:AH29"/>
    <mergeCell ref="AF30:AH30"/>
    <mergeCell ref="AF32:AI41"/>
    <mergeCell ref="Y27:AA27"/>
    <mergeCell ref="AB27:AD27"/>
    <mergeCell ref="AF27:AH27"/>
    <mergeCell ref="B28:D28"/>
    <mergeCell ref="G28:J28"/>
    <mergeCell ref="L28:O28"/>
    <mergeCell ref="AF28:AH28"/>
    <mergeCell ref="B27:D27"/>
    <mergeCell ref="G27:I27"/>
    <mergeCell ref="L27:N27"/>
    <mergeCell ref="W27:X27"/>
    <mergeCell ref="B23:D23"/>
    <mergeCell ref="I23:J23"/>
    <mergeCell ref="N23:O23"/>
    <mergeCell ref="B29:D29"/>
    <mergeCell ref="G29:J29"/>
    <mergeCell ref="L29:O29"/>
    <mergeCell ref="AU15:AX15"/>
    <mergeCell ref="AF23:AH23"/>
    <mergeCell ref="I24:J24"/>
    <mergeCell ref="N24:O24"/>
    <mergeCell ref="AF24:AG26"/>
    <mergeCell ref="G25:J25"/>
    <mergeCell ref="L25:O25"/>
    <mergeCell ref="B26:D26"/>
    <mergeCell ref="B22:D22"/>
    <mergeCell ref="G22:H22"/>
    <mergeCell ref="I22:J22"/>
    <mergeCell ref="L22:M22"/>
    <mergeCell ref="N22:O22"/>
    <mergeCell ref="AF22:AH22"/>
    <mergeCell ref="G26:I26"/>
    <mergeCell ref="L26:N26"/>
    <mergeCell ref="AI15:AL15"/>
    <mergeCell ref="AB20:AD20"/>
    <mergeCell ref="AF20:AI20"/>
    <mergeCell ref="D21:E21"/>
    <mergeCell ref="G21:J21"/>
    <mergeCell ref="L21:O21"/>
    <mergeCell ref="AF21:AH21"/>
    <mergeCell ref="AM15:AP15"/>
    <mergeCell ref="AQ15:AT15"/>
    <mergeCell ref="D20:E20"/>
    <mergeCell ref="G20:J20"/>
    <mergeCell ref="L20:O20"/>
    <mergeCell ref="Q20:T20"/>
    <mergeCell ref="W20:X20"/>
    <mergeCell ref="Y20:AA20"/>
    <mergeCell ref="Q15:R15"/>
    <mergeCell ref="S15:T15"/>
    <mergeCell ref="W15:Z15"/>
    <mergeCell ref="AA15:AD15"/>
    <mergeCell ref="AM11:AP11"/>
    <mergeCell ref="AQ11:AT11"/>
    <mergeCell ref="AU11:AX11"/>
    <mergeCell ref="AY11:BB11"/>
    <mergeCell ref="B15:C15"/>
    <mergeCell ref="D15:E15"/>
    <mergeCell ref="G15:H15"/>
    <mergeCell ref="I15:J15"/>
    <mergeCell ref="L15:M15"/>
    <mergeCell ref="N15:O15"/>
    <mergeCell ref="Q11:R11"/>
    <mergeCell ref="S11:T11"/>
    <mergeCell ref="W11:Z11"/>
    <mergeCell ref="AA11:AD11"/>
    <mergeCell ref="AE11:AH11"/>
    <mergeCell ref="AI11:AL11"/>
    <mergeCell ref="B11:C11"/>
    <mergeCell ref="D11:E11"/>
    <mergeCell ref="G11:H11"/>
    <mergeCell ref="I11:J11"/>
    <mergeCell ref="L11:M11"/>
    <mergeCell ref="N11:O11"/>
    <mergeCell ref="AY15:BB15"/>
    <mergeCell ref="AE15:AH15"/>
    <mergeCell ref="Q8:R8"/>
    <mergeCell ref="S8:T8"/>
    <mergeCell ref="B9:C9"/>
    <mergeCell ref="D9:E9"/>
    <mergeCell ref="G9:H9"/>
    <mergeCell ref="I9:J9"/>
    <mergeCell ref="L9:M9"/>
    <mergeCell ref="N9:O9"/>
    <mergeCell ref="Q9:R9"/>
    <mergeCell ref="S9:T9"/>
    <mergeCell ref="B8:C8"/>
    <mergeCell ref="D8:E8"/>
    <mergeCell ref="G8:H8"/>
    <mergeCell ref="I8:J8"/>
    <mergeCell ref="L8:M8"/>
    <mergeCell ref="N8:O8"/>
    <mergeCell ref="AI6:AL6"/>
    <mergeCell ref="B7:C7"/>
    <mergeCell ref="D7:E7"/>
    <mergeCell ref="G7:H7"/>
    <mergeCell ref="I7:J7"/>
    <mergeCell ref="L7:M7"/>
    <mergeCell ref="N7:O7"/>
    <mergeCell ref="Q7:R7"/>
    <mergeCell ref="S7:T7"/>
    <mergeCell ref="B6:E6"/>
    <mergeCell ref="G6:J6"/>
    <mergeCell ref="L6:O6"/>
    <mergeCell ref="Q6:T6"/>
    <mergeCell ref="W6:Z6"/>
    <mergeCell ref="AA6:AD6"/>
    <mergeCell ref="B1:T1"/>
    <mergeCell ref="D3:P4"/>
    <mergeCell ref="Q3:R3"/>
    <mergeCell ref="Q4:R4"/>
    <mergeCell ref="B5:E5"/>
    <mergeCell ref="G5:J5"/>
    <mergeCell ref="L5:O5"/>
    <mergeCell ref="Q5:T5"/>
    <mergeCell ref="AE6:AH6"/>
  </mergeCells>
  <conditionalFormatting sqref="Q4:R4 D7:E7 I7:J7 N7:O7 S7:T7 C12 E12 H12 J12 M12 O12 R12 T12 C16 E16 H16 J16 M16 O16 R16 T16">
    <cfRule type="containsText" dxfId="72" priority="78" operator="containsText" text="Void">
      <formula>NOT(ISERROR(SEARCH("Void",C4)))</formula>
    </cfRule>
    <cfRule type="containsText" dxfId="71" priority="79" operator="containsText" text="Magic">
      <formula>NOT(ISERROR(SEARCH("Magic",C4)))</formula>
    </cfRule>
    <cfRule type="containsText" dxfId="70" priority="80" operator="containsText" text="Spirit">
      <formula>NOT(ISERROR(SEARCH("Spirit",C4)))</formula>
    </cfRule>
    <cfRule type="containsText" dxfId="69" priority="81" operator="containsText" text="Force">
      <formula>NOT(ISERROR(SEARCH("Force",C4)))</formula>
    </cfRule>
  </conditionalFormatting>
  <conditionalFormatting sqref="D8:E8 I8:J8 N8:O8 S8:T8">
    <cfRule type="containsBlanks" dxfId="68" priority="42">
      <formula>LEN(TRIM(D8))=0</formula>
    </cfRule>
    <cfRule type="containsText" dxfId="67" priority="77" operator="containsText" text="50/50">
      <formula>NOT(ISERROR(SEARCH("50/50",D8)))</formula>
    </cfRule>
  </conditionalFormatting>
  <conditionalFormatting sqref="D9:E9 I9:J9 N9:O9 S9:T9">
    <cfRule type="containsText" dxfId="66" priority="76" operator="containsText" text="✦✦✦✦✦">
      <formula>NOT(ISERROR(SEARCH("✦✦✦✦✦",D9)))</formula>
    </cfRule>
  </conditionalFormatting>
  <conditionalFormatting sqref="E14 H14 J14 M14 O14 R14 T14 C18 E18 H18 J18 M18 O18 R18 T18">
    <cfRule type="containsText" dxfId="65" priority="75" operator="containsText" text="✦✦✦✦">
      <formula>NOT(ISERROR(SEARCH("✦✦✦✦",C14)))</formula>
    </cfRule>
  </conditionalFormatting>
  <conditionalFormatting sqref="B10:E12 B15:E16 B13:B14 D14:E14 D13 B18:E18 B17 D17">
    <cfRule type="expression" dxfId="64" priority="66">
      <formula>$A$10=1</formula>
    </cfRule>
  </conditionalFormatting>
  <conditionalFormatting sqref="G10:J12 G14:J16 G13 I13 G18:J18 G17 I17">
    <cfRule type="expression" dxfId="63" priority="56">
      <formula>$F$10=1</formula>
    </cfRule>
  </conditionalFormatting>
  <conditionalFormatting sqref="L10:O12 L14:O16 L13 N13 L18:O18 L17 N17">
    <cfRule type="expression" dxfId="62" priority="64">
      <formula>$K$10=1</formula>
    </cfRule>
  </conditionalFormatting>
  <conditionalFormatting sqref="Q10:T12 Q14:T16 Q13 S13 Q18:T18 Q17 S17">
    <cfRule type="expression" dxfId="61" priority="63">
      <formula>$P$10=1</formula>
    </cfRule>
  </conditionalFormatting>
  <conditionalFormatting sqref="B5:E9">
    <cfRule type="expression" dxfId="60" priority="62">
      <formula>$A$5=1</formula>
    </cfRule>
  </conditionalFormatting>
  <conditionalFormatting sqref="G5:J9">
    <cfRule type="expression" dxfId="59" priority="61">
      <formula>$A$5=1</formula>
    </cfRule>
  </conditionalFormatting>
  <conditionalFormatting sqref="L5:O9">
    <cfRule type="expression" dxfId="58" priority="60">
      <formula>$A$5=1</formula>
    </cfRule>
  </conditionalFormatting>
  <conditionalFormatting sqref="Q5:T9">
    <cfRule type="expression" dxfId="57" priority="59">
      <formula>$A$5=1</formula>
    </cfRule>
  </conditionalFormatting>
  <conditionalFormatting sqref="C13:C14">
    <cfRule type="containsBlanks" dxfId="56" priority="58">
      <formula>LEN(TRIM(C13))=0</formula>
    </cfRule>
  </conditionalFormatting>
  <conditionalFormatting sqref="E13">
    <cfRule type="containsBlanks" dxfId="55" priority="57">
      <formula>LEN(TRIM(E13))=0</formula>
    </cfRule>
  </conditionalFormatting>
  <conditionalFormatting sqref="H13">
    <cfRule type="containsBlanks" dxfId="54" priority="55">
      <formula>LEN(TRIM(H13))=0</formula>
    </cfRule>
  </conditionalFormatting>
  <conditionalFormatting sqref="J13">
    <cfRule type="containsBlanks" dxfId="53" priority="46">
      <formula>LEN(TRIM(J13))=0</formula>
    </cfRule>
  </conditionalFormatting>
  <conditionalFormatting sqref="M13">
    <cfRule type="containsBlanks" dxfId="52" priority="54">
      <formula>LEN(TRIM(M13))=0</formula>
    </cfRule>
  </conditionalFormatting>
  <conditionalFormatting sqref="O13">
    <cfRule type="containsBlanks" dxfId="51" priority="53">
      <formula>LEN(TRIM(O13))=0</formula>
    </cfRule>
  </conditionalFormatting>
  <conditionalFormatting sqref="R13">
    <cfRule type="containsBlanks" dxfId="50" priority="52">
      <formula>LEN(TRIM(R13))=0</formula>
    </cfRule>
  </conditionalFormatting>
  <conditionalFormatting sqref="T13">
    <cfRule type="containsBlanks" dxfId="49" priority="51">
      <formula>LEN(TRIM(T13))=0</formula>
    </cfRule>
  </conditionalFormatting>
  <conditionalFormatting sqref="T17">
    <cfRule type="containsBlanks" dxfId="48" priority="50">
      <formula>LEN(TRIM(T17))=0</formula>
    </cfRule>
  </conditionalFormatting>
  <conditionalFormatting sqref="R17">
    <cfRule type="containsBlanks" dxfId="47" priority="49">
      <formula>LEN(TRIM(R17))=0</formula>
    </cfRule>
  </conditionalFormatting>
  <conditionalFormatting sqref="O17">
    <cfRule type="containsBlanks" dxfId="46" priority="48">
      <formula>LEN(TRIM(O17))=0</formula>
    </cfRule>
  </conditionalFormatting>
  <conditionalFormatting sqref="M17">
    <cfRule type="containsBlanks" dxfId="45" priority="47">
      <formula>LEN(TRIM(M17))=0</formula>
    </cfRule>
  </conditionalFormatting>
  <conditionalFormatting sqref="J17">
    <cfRule type="containsBlanks" dxfId="44" priority="45">
      <formula>LEN(TRIM(J17))=0</formula>
    </cfRule>
  </conditionalFormatting>
  <conditionalFormatting sqref="H17">
    <cfRule type="containsBlanks" dxfId="43" priority="34">
      <formula>LEN(TRIM(H17))=0</formula>
    </cfRule>
  </conditionalFormatting>
  <conditionalFormatting sqref="E17">
    <cfRule type="containsBlanks" dxfId="42" priority="44">
      <formula>LEN(TRIM(E17))=0</formula>
    </cfRule>
  </conditionalFormatting>
  <conditionalFormatting sqref="C17">
    <cfRule type="containsBlanks" dxfId="41" priority="43">
      <formula>LEN(TRIM(C17))=0</formula>
    </cfRule>
  </conditionalFormatting>
  <conditionalFormatting sqref="D9:E9">
    <cfRule type="expression" dxfId="40" priority="41">
      <formula>D8=""</formula>
    </cfRule>
  </conditionalFormatting>
  <conditionalFormatting sqref="I9:J9">
    <cfRule type="expression" dxfId="39" priority="40">
      <formula>$A$5=1</formula>
    </cfRule>
  </conditionalFormatting>
  <conditionalFormatting sqref="I9:J9">
    <cfRule type="expression" dxfId="38" priority="39">
      <formula>I8=""</formula>
    </cfRule>
  </conditionalFormatting>
  <conditionalFormatting sqref="N9:O9">
    <cfRule type="expression" dxfId="37" priority="38">
      <formula>$A$5=1</formula>
    </cfRule>
  </conditionalFormatting>
  <conditionalFormatting sqref="N9:O9">
    <cfRule type="expression" dxfId="36" priority="37">
      <formula>N8=""</formula>
    </cfRule>
  </conditionalFormatting>
  <conditionalFormatting sqref="S9:T9">
    <cfRule type="expression" dxfId="35" priority="36">
      <formula>$A$5=1</formula>
    </cfRule>
  </conditionalFormatting>
  <conditionalFormatting sqref="S9:T9">
    <cfRule type="expression" dxfId="34" priority="35">
      <formula>S8=""</formula>
    </cfRule>
  </conditionalFormatting>
  <conditionalFormatting sqref="C14 E14 H14 J14 M14 O14 R14 T14 T18 R18 O18 M18 J18 H18 E18 C18">
    <cfRule type="expression" dxfId="33" priority="29">
      <formula>C13=""</formula>
    </cfRule>
  </conditionalFormatting>
  <conditionalFormatting sqref="D11:E14">
    <cfRule type="expression" dxfId="32" priority="33">
      <formula>$E$13=""</formula>
    </cfRule>
  </conditionalFormatting>
  <conditionalFormatting sqref="B11:C14">
    <cfRule type="expression" dxfId="31" priority="32">
      <formula>$C$13=""</formula>
    </cfRule>
  </conditionalFormatting>
  <conditionalFormatting sqref="B15:C18">
    <cfRule type="expression" dxfId="30" priority="31">
      <formula>$C$17=""</formula>
    </cfRule>
  </conditionalFormatting>
  <conditionalFormatting sqref="D15:E18">
    <cfRule type="expression" dxfId="29" priority="30">
      <formula>$E$17=""</formula>
    </cfRule>
  </conditionalFormatting>
  <conditionalFormatting sqref="G11:H14">
    <cfRule type="expression" dxfId="28" priority="28">
      <formula>$H$13=""</formula>
    </cfRule>
  </conditionalFormatting>
  <conditionalFormatting sqref="G15:H18">
    <cfRule type="expression" dxfId="27" priority="27">
      <formula>$H$17=""</formula>
    </cfRule>
  </conditionalFormatting>
  <conditionalFormatting sqref="I11:J14">
    <cfRule type="expression" dxfId="26" priority="26">
      <formula>$J$13=""</formula>
    </cfRule>
  </conditionalFormatting>
  <conditionalFormatting sqref="I15:J18">
    <cfRule type="expression" dxfId="25" priority="1">
      <formula>$J$17=""</formula>
    </cfRule>
  </conditionalFormatting>
  <conditionalFormatting sqref="L11:M14">
    <cfRule type="expression" dxfId="24" priority="25">
      <formula>$M$13=""</formula>
    </cfRule>
  </conditionalFormatting>
  <conditionalFormatting sqref="L15:M18">
    <cfRule type="expression" dxfId="23" priority="24">
      <formula>$M$17=""</formula>
    </cfRule>
  </conditionalFormatting>
  <conditionalFormatting sqref="N11:O14">
    <cfRule type="expression" dxfId="22" priority="23">
      <formula>$O$13=""</formula>
    </cfRule>
  </conditionalFormatting>
  <conditionalFormatting sqref="N15:O18">
    <cfRule type="expression" dxfId="21" priority="22">
      <formula>$O$17=""</formula>
    </cfRule>
  </conditionalFormatting>
  <conditionalFormatting sqref="Q11:R14">
    <cfRule type="expression" dxfId="20" priority="21">
      <formula>$R$13=""</formula>
    </cfRule>
  </conditionalFormatting>
  <conditionalFormatting sqref="Q15:R18">
    <cfRule type="expression" dxfId="19" priority="20">
      <formula>$R$17=""</formula>
    </cfRule>
  </conditionalFormatting>
  <conditionalFormatting sqref="S11:T14">
    <cfRule type="expression" dxfId="18" priority="19">
      <formula>$T$13=""</formula>
    </cfRule>
  </conditionalFormatting>
  <conditionalFormatting sqref="S15:T18">
    <cfRule type="expression" dxfId="17" priority="18">
      <formula>$T$17=""</formula>
    </cfRule>
  </conditionalFormatting>
  <conditionalFormatting sqref="B6:E9">
    <cfRule type="expression" dxfId="16" priority="17">
      <formula>$D$8=""</formula>
    </cfRule>
  </conditionalFormatting>
  <conditionalFormatting sqref="G6:J9">
    <cfRule type="expression" dxfId="15" priority="16">
      <formula>$I$8=""</formula>
    </cfRule>
  </conditionalFormatting>
  <conditionalFormatting sqref="L6:O9">
    <cfRule type="expression" dxfId="14" priority="15">
      <formula>$N$8=""</formula>
    </cfRule>
  </conditionalFormatting>
  <conditionalFormatting sqref="Q6:T9">
    <cfRule type="expression" dxfId="13" priority="14">
      <formula>$S$8=""</formula>
    </cfRule>
  </conditionalFormatting>
  <conditionalFormatting sqref="Q24:Q25">
    <cfRule type="cellIs" dxfId="12" priority="2" operator="equal">
      <formula>"Void"</formula>
    </cfRule>
    <cfRule type="cellIs" dxfId="11" priority="3" operator="equal">
      <formula>"Spirit"</formula>
    </cfRule>
    <cfRule type="cellIs" dxfId="10" priority="4" operator="equal">
      <formula>"Magic"</formula>
    </cfRule>
    <cfRule type="cellIs" dxfId="9" priority="5" operator="equal">
      <formula>"Force"</formula>
    </cfRule>
  </conditionalFormatting>
  <conditionalFormatting sqref="Q22">
    <cfRule type="cellIs" dxfId="8" priority="10" operator="equal">
      <formula>"Void"</formula>
    </cfRule>
    <cfRule type="cellIs" dxfId="7" priority="11" operator="equal">
      <formula>"Spirit"</formula>
    </cfRule>
    <cfRule type="cellIs" dxfId="6" priority="12" operator="equal">
      <formula>"Magic"</formula>
    </cfRule>
    <cfRule type="cellIs" dxfId="5" priority="13" operator="equal">
      <formula>"Force"</formula>
    </cfRule>
  </conditionalFormatting>
  <conditionalFormatting sqref="Q23">
    <cfRule type="cellIs" dxfId="4" priority="6" operator="equal">
      <formula>"Void"</formula>
    </cfRule>
    <cfRule type="cellIs" dxfId="3" priority="7" operator="equal">
      <formula>"Spirit"</formula>
    </cfRule>
    <cfRule type="cellIs" dxfId="2" priority="8" operator="equal">
      <formula>"Magic"</formula>
    </cfRule>
    <cfRule type="cellIs" dxfId="1" priority="9" operator="equal">
      <formula>"Force"</formula>
    </cfRule>
  </conditionalFormatting>
  <conditionalFormatting sqref="C13 E13 C17 E17 H13 J13 H17 J17 M13 O13 M17 O17 R13 T13 R17 T17">
    <cfRule type="containsText" dxfId="0" priority="73" operator="containsText" text="40/40">
      <formula>NOT(ISERROR(SEARCH("40/40",C13)))</formula>
    </cfRule>
  </conditionalFormatting>
  <dataValidations count="15">
    <dataValidation type="custom" allowBlank="1" showInputMessage="1" showErrorMessage="1" errorTitle="Invalid champion" error="Champion can't be found in HellHades' online Tier List. It could be new or incorrectly spelled (either by you or HellHades!)" sqref="G11:J11 L11:O11 Q11:T11 B11:E11 B15:E15 G15:J15 L15:O15 Q15:T15" xr:uid="{00000000-0002-0000-0200-000000000000}">
      <formula1>ISNA(C12)=FALSE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Q6:T6 G6:J6 L6:O6 B6:E6" xr:uid="{00000000-0002-0000-0200-000001000000}">
      <formula1>ISNA(D7)=FALSE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D3:P4" xr:uid="{00000000-0002-0000-0200-000002000000}">
      <formula1>ISNA(Q4)=FALSE</formula1>
    </dataValidation>
    <dataValidation type="whole" allowBlank="1" showInputMessage="1" showErrorMessage="1" errorTitle="Invalid entry" error="Full energy must be a whole, positive number and the maximum is 130._x000a_" sqref="E29" xr:uid="{00000000-0002-0000-02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E25" xr:uid="{00000000-0002-0000-0200-000004000000}">
      <formula1>1</formula1>
      <formula2>E24</formula2>
    </dataValidation>
    <dataValidation type="whole" operator="greaterThan" allowBlank="1" showInputMessage="1" showErrorMessage="1" errorTitle="Invalid entry" error="Must be a whole, positive number, or left blank." sqref="E23" xr:uid="{00000000-0002-0000-02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E22" xr:uid="{00000000-0002-0000-0200-000006000000}">
      <formula1>0</formula1>
    </dataValidation>
    <dataValidation type="list" allowBlank="1" showInputMessage="1" showErrorMessage="1" sqref="E24" xr:uid="{00000000-0002-0000-0200-000007000000}">
      <formula1>"4,3,2,1"</formula1>
    </dataValidation>
    <dataValidation type="list" allowBlank="1" showInputMessage="1" showErrorMessage="1" sqref="E26:E28" xr:uid="{00000000-0002-0000-0200-000008000000}">
      <formula1>"Off, On"</formula1>
    </dataValidation>
    <dataValidation type="list" allowBlank="1" showInputMessage="1" showErrorMessage="1" sqref="D21" xr:uid="{00000000-0002-0000-0200-000009000000}">
      <formula1>V_Farming_Level</formula1>
    </dataValidation>
    <dataValidation type="list" allowBlank="1" showInputMessage="1" showErrorMessage="1" sqref="D20" xr:uid="{00000000-0002-0000-0200-00000A000000}">
      <formula1>"Normal, Hard, Brutal, Nightmare"</formula1>
    </dataValidation>
    <dataValidation type="list" allowBlank="1" showInputMessage="1" showErrorMessage="1" sqref="C14 E14 H14 J14 M14 O14 R14 T14 T18 R18 O18 M18 J18 H18 E18 C18" xr:uid="{00000000-0002-0000-0200-00000B000000}">
      <formula1>"✦✦✦✦,✦✦✦✧,✦✦✧✧,✦✦✧✧,✧✧✧✧"</formula1>
    </dataValidation>
    <dataValidation type="list" allowBlank="1" showInputMessage="1" showErrorMessage="1" sqref="D9:E9 N9:O9 I9:J9 S9:T9" xr:uid="{00000000-0002-0000-0200-00000C000000}">
      <formula1>"✦✦✦✦✦,✦✦✦✦✧,✦✦✦✧✧,✦✦✧✧✧,✦✧✧✧✧,✧✧✧✧✧"</formula1>
    </dataValidation>
    <dataValidation type="list" allowBlank="1" showInputMessage="1" showErrorMessage="1" sqref="C13 T17 T13 E13 H13 J13 M13 O13 R13 E17 H17 J17 M17 O17 R17 C17" xr:uid="{00000000-0002-0000-0200-00000D000000}">
      <formula1>V_CF_Dropdown_Rare</formula1>
    </dataValidation>
    <dataValidation type="list" allowBlank="1" showInputMessage="1" showErrorMessage="1" sqref="D8:E8 N8:O8 I8:J8 S8:T8" xr:uid="{00000000-0002-0000-0200-00000E000000}">
      <formula1>V_CF_Dropdown_Epic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4" id="{9B40D4B1-0A64-48ED-B7D3-AA7F027D9FD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B10:E10</xm:sqref>
        </x14:conditionalFormatting>
        <x14:conditionalFormatting xmlns:xm="http://schemas.microsoft.com/office/excel/2006/main">
          <x14:cfRule type="iconSet" priority="65" id="{314D59E8-5D12-46CB-BAB7-36C074DA9D22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G10:J10</xm:sqref>
        </x14:conditionalFormatting>
        <x14:conditionalFormatting xmlns:xm="http://schemas.microsoft.com/office/excel/2006/main">
          <x14:cfRule type="iconSet" priority="72" id="{75C78F17-DFE5-4484-8FFB-A5BF56F01FD0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L10:O10</xm:sqref>
        </x14:conditionalFormatting>
        <x14:conditionalFormatting xmlns:xm="http://schemas.microsoft.com/office/excel/2006/main">
          <x14:cfRule type="iconSet" priority="71" id="{45904672-813C-4316-9CC0-D38ABD45C6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Q10:T10</xm:sqref>
        </x14:conditionalFormatting>
        <x14:conditionalFormatting xmlns:xm="http://schemas.microsoft.com/office/excel/2006/main">
          <x14:cfRule type="iconSet" priority="70" id="{9E3A86B7-675C-4E0C-8C1E-D243B5358AC6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69" id="{4395B02F-57EB-428E-BBE2-437205D22FB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G5</xm:sqref>
        </x14:conditionalFormatting>
        <x14:conditionalFormatting xmlns:xm="http://schemas.microsoft.com/office/excel/2006/main">
          <x14:cfRule type="iconSet" priority="68" id="{6E1C9C73-2FCA-4AC5-BE35-07E2A54D257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67" id="{59A7ECF0-A00F-4920-B0BE-08B97CE645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1:BH498"/>
  <sheetViews>
    <sheetView tabSelected="1" zoomScaleNormal="100" workbookViewId="0">
      <selection activeCell="B15" sqref="B15"/>
    </sheetView>
  </sheetViews>
  <sheetFormatPr defaultRowHeight="15" x14ac:dyDescent="0.25"/>
  <cols>
    <col min="1" max="1" width="38" style="8" bestFit="1" customWidth="1"/>
    <col min="2" max="2" width="12.140625" customWidth="1"/>
    <col min="3" max="3" width="12.28515625" bestFit="1" customWidth="1"/>
    <col min="4" max="4" width="1.140625" customWidth="1"/>
    <col min="5" max="5" width="7.42578125" bestFit="1" customWidth="1"/>
    <col min="6" max="6" width="3.7109375" bestFit="1" customWidth="1"/>
    <col min="10" max="10" width="3.7109375" bestFit="1" customWidth="1"/>
    <col min="14" max="14" width="1.7109375" customWidth="1"/>
    <col min="17" max="17" width="1.7109375" customWidth="1"/>
    <col min="25" max="25" width="1.28515625" customWidth="1"/>
    <col min="26" max="26" width="10.42578125" bestFit="1" customWidth="1"/>
    <col min="28" max="28" width="9.140625" customWidth="1"/>
    <col min="29" max="29" width="1" customWidth="1"/>
    <col min="30" max="31" width="9.28515625" bestFit="1" customWidth="1"/>
    <col min="32" max="32" width="9.5703125" bestFit="1" customWidth="1"/>
    <col min="33" max="33" width="9.28515625" bestFit="1" customWidth="1"/>
    <col min="34" max="34" width="10.42578125" bestFit="1" customWidth="1"/>
    <col min="35" max="35" width="1" customWidth="1"/>
    <col min="40" max="40" width="10.42578125" bestFit="1" customWidth="1"/>
    <col min="42" max="42" width="26.7109375" bestFit="1" customWidth="1"/>
    <col min="43" max="44" width="9.28515625" bestFit="1" customWidth="1"/>
    <col min="45" max="45" width="8.85546875" bestFit="1" customWidth="1"/>
    <col min="46" max="46" width="13.140625" bestFit="1" customWidth="1"/>
    <col min="47" max="47" width="10.5703125" bestFit="1" customWidth="1"/>
    <col min="48" max="48" width="8.85546875" bestFit="1" customWidth="1"/>
    <col min="49" max="49" width="13.140625" bestFit="1" customWidth="1"/>
    <col min="50" max="50" width="10.5703125" bestFit="1" customWidth="1"/>
    <col min="51" max="51" width="8.85546875" bestFit="1" customWidth="1"/>
    <col min="52" max="52" width="13.140625" bestFit="1" customWidth="1"/>
    <col min="53" max="53" width="10.5703125" bestFit="1" customWidth="1"/>
    <col min="54" max="54" width="8.85546875" bestFit="1" customWidth="1"/>
    <col min="55" max="55" width="13.140625" bestFit="1" customWidth="1"/>
    <col min="56" max="56" width="10.5703125" bestFit="1" customWidth="1"/>
    <col min="57" max="57" width="8.85546875" bestFit="1" customWidth="1"/>
    <col min="58" max="58" width="13.140625" bestFit="1" customWidth="1"/>
    <col min="59" max="59" width="8.85546875" bestFit="1" customWidth="1"/>
    <col min="60" max="60" width="13.140625" bestFit="1" customWidth="1"/>
  </cols>
  <sheetData>
    <row r="1" spans="1:60" x14ac:dyDescent="0.25">
      <c r="A1" s="1" t="s">
        <v>0</v>
      </c>
      <c r="G1" s="2" t="s">
        <v>1</v>
      </c>
      <c r="H1" s="2" t="s">
        <v>2</v>
      </c>
      <c r="I1" s="2" t="s">
        <v>3</v>
      </c>
      <c r="J1" s="2"/>
      <c r="K1" s="2" t="s">
        <v>4</v>
      </c>
      <c r="L1" s="2" t="s">
        <v>5</v>
      </c>
      <c r="M1" s="2" t="s">
        <v>6</v>
      </c>
      <c r="O1" s="2" t="s">
        <v>393</v>
      </c>
      <c r="P1" s="2" t="s">
        <v>394</v>
      </c>
      <c r="Q1" s="3" t="s">
        <v>7</v>
      </c>
      <c r="S1" s="4" t="s">
        <v>395</v>
      </c>
      <c r="T1" s="4" t="s">
        <v>396</v>
      </c>
      <c r="U1" s="4" t="s">
        <v>397</v>
      </c>
      <c r="V1" s="4" t="s">
        <v>398</v>
      </c>
      <c r="W1" s="4" t="s">
        <v>399</v>
      </c>
      <c r="X1" s="4" t="s">
        <v>400</v>
      </c>
      <c r="Z1" s="2" t="s">
        <v>401</v>
      </c>
      <c r="AA1" s="2" t="s">
        <v>402</v>
      </c>
      <c r="AB1" s="2" t="s">
        <v>403</v>
      </c>
      <c r="AD1" s="2" t="s">
        <v>404</v>
      </c>
      <c r="AE1" s="2" t="s">
        <v>405</v>
      </c>
      <c r="AF1" s="2" t="s">
        <v>406</v>
      </c>
      <c r="AG1" s="2" t="s">
        <v>407</v>
      </c>
      <c r="AH1" s="2" t="s">
        <v>408</v>
      </c>
      <c r="AK1" s="2" t="s">
        <v>409</v>
      </c>
      <c r="AL1" s="2" t="s">
        <v>410</v>
      </c>
      <c r="AM1" s="2" t="s">
        <v>411</v>
      </c>
      <c r="AN1" s="2" t="s">
        <v>412</v>
      </c>
      <c r="AP1" s="2" t="s">
        <v>444</v>
      </c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5.75" thickBot="1" x14ac:dyDescent="0.3">
      <c r="A2" s="5" t="s">
        <v>8</v>
      </c>
    </row>
    <row r="3" spans="1:60" ht="15.75" thickBot="1" x14ac:dyDescent="0.3">
      <c r="A3" s="7" t="s">
        <v>9</v>
      </c>
      <c r="E3" s="640" t="s">
        <v>10</v>
      </c>
      <c r="F3" s="641"/>
      <c r="G3" s="644"/>
      <c r="H3" s="644"/>
      <c r="I3" s="644"/>
      <c r="J3" s="644"/>
      <c r="K3" s="644"/>
      <c r="L3" s="644"/>
      <c r="M3" s="645"/>
      <c r="O3" s="649" t="s">
        <v>11</v>
      </c>
      <c r="P3" s="650"/>
      <c r="R3" s="640" t="s">
        <v>12</v>
      </c>
      <c r="S3" s="641"/>
      <c r="T3" s="641"/>
      <c r="U3" s="641"/>
      <c r="V3" s="641"/>
      <c r="W3" s="641"/>
      <c r="X3" s="642"/>
      <c r="Z3" s="640" t="s">
        <v>13</v>
      </c>
      <c r="AA3" s="641"/>
      <c r="AB3" s="642"/>
      <c r="AD3" s="643" t="s">
        <v>14</v>
      </c>
      <c r="AE3" s="644"/>
      <c r="AF3" s="644"/>
      <c r="AG3" s="644"/>
      <c r="AH3" s="645"/>
      <c r="AJ3" s="640" t="s">
        <v>15</v>
      </c>
      <c r="AK3" s="641"/>
      <c r="AL3" s="641"/>
      <c r="AM3" s="641"/>
      <c r="AN3" s="642"/>
      <c r="AP3" s="643" t="s">
        <v>445</v>
      </c>
      <c r="AQ3" s="644"/>
      <c r="AR3" s="644"/>
      <c r="AS3" s="644"/>
      <c r="AT3" s="644"/>
      <c r="AU3" s="644"/>
      <c r="AV3" s="644"/>
      <c r="AW3" s="644"/>
      <c r="AX3" s="644"/>
      <c r="AY3" s="644"/>
      <c r="AZ3" s="644"/>
      <c r="BA3" s="644"/>
      <c r="BB3" s="644"/>
      <c r="BC3" s="644"/>
      <c r="BD3" s="644"/>
      <c r="BE3" s="644"/>
      <c r="BF3" s="644"/>
      <c r="BG3" s="644"/>
      <c r="BH3" s="645"/>
    </row>
    <row r="4" spans="1:60" ht="15.75" thickBot="1" x14ac:dyDescent="0.3">
      <c r="E4" s="643" t="s">
        <v>16</v>
      </c>
      <c r="F4" s="645"/>
      <c r="G4" s="9" t="s">
        <v>17</v>
      </c>
      <c r="H4" s="10" t="s">
        <v>18</v>
      </c>
      <c r="I4" s="11" t="s">
        <v>19</v>
      </c>
      <c r="J4" s="12"/>
      <c r="K4" s="9" t="s">
        <v>17</v>
      </c>
      <c r="L4" s="10" t="s">
        <v>18</v>
      </c>
      <c r="M4" s="11" t="s">
        <v>19</v>
      </c>
      <c r="O4" s="13" t="s">
        <v>20</v>
      </c>
      <c r="P4" s="13" t="s">
        <v>21</v>
      </c>
      <c r="R4" s="14" t="s">
        <v>22</v>
      </c>
      <c r="S4" s="15" t="s">
        <v>23</v>
      </c>
      <c r="T4" s="15" t="s">
        <v>24</v>
      </c>
      <c r="U4" s="15" t="s">
        <v>25</v>
      </c>
      <c r="V4" s="15" t="s">
        <v>26</v>
      </c>
      <c r="W4" s="15" t="s">
        <v>27</v>
      </c>
      <c r="X4" s="16" t="s">
        <v>28</v>
      </c>
      <c r="Z4" s="14" t="s">
        <v>29</v>
      </c>
      <c r="AA4" s="17" t="s">
        <v>30</v>
      </c>
      <c r="AB4" s="16" t="s">
        <v>31</v>
      </c>
      <c r="AD4" s="18" t="s">
        <v>32</v>
      </c>
      <c r="AE4" s="19" t="s">
        <v>33</v>
      </c>
      <c r="AF4" s="19" t="s">
        <v>34</v>
      </c>
      <c r="AG4" s="19" t="s">
        <v>35</v>
      </c>
      <c r="AH4" s="20" t="s">
        <v>36</v>
      </c>
      <c r="AJ4" s="18" t="s">
        <v>32</v>
      </c>
      <c r="AK4" s="19" t="s">
        <v>33</v>
      </c>
      <c r="AL4" s="19" t="s">
        <v>34</v>
      </c>
      <c r="AM4" s="19" t="s">
        <v>35</v>
      </c>
      <c r="AN4" s="20" t="s">
        <v>36</v>
      </c>
      <c r="AP4" s="208" t="s">
        <v>432</v>
      </c>
      <c r="AQ4" s="211" t="s">
        <v>344</v>
      </c>
      <c r="AR4" s="212" t="s">
        <v>374</v>
      </c>
      <c r="AS4" s="209" t="s">
        <v>433</v>
      </c>
      <c r="AT4" s="209" t="s">
        <v>434</v>
      </c>
      <c r="AU4" s="209" t="s">
        <v>435</v>
      </c>
      <c r="AV4" s="209" t="s">
        <v>427</v>
      </c>
      <c r="AW4" s="209" t="s">
        <v>436</v>
      </c>
      <c r="AX4" s="209" t="s">
        <v>437</v>
      </c>
      <c r="AY4" s="209" t="s">
        <v>438</v>
      </c>
      <c r="AZ4" s="209" t="s">
        <v>428</v>
      </c>
      <c r="BA4" s="209" t="s">
        <v>439</v>
      </c>
      <c r="BB4" s="209" t="s">
        <v>440</v>
      </c>
      <c r="BC4" s="209" t="s">
        <v>441</v>
      </c>
      <c r="BD4" s="209" t="s">
        <v>429</v>
      </c>
      <c r="BE4" s="209" t="s">
        <v>430</v>
      </c>
      <c r="BF4" s="209" t="s">
        <v>442</v>
      </c>
      <c r="BG4" s="209" t="s">
        <v>443</v>
      </c>
      <c r="BH4" s="209" t="s">
        <v>431</v>
      </c>
    </row>
    <row r="5" spans="1:60" x14ac:dyDescent="0.25">
      <c r="E5" s="21">
        <v>1</v>
      </c>
      <c r="F5" s="646" t="s">
        <v>38</v>
      </c>
      <c r="G5" s="23">
        <v>2</v>
      </c>
      <c r="H5" s="24"/>
      <c r="I5" s="25"/>
      <c r="J5" s="646" t="s">
        <v>39</v>
      </c>
      <c r="K5" s="23">
        <v>2</v>
      </c>
      <c r="L5" s="24"/>
      <c r="M5" s="25"/>
      <c r="O5" s="26"/>
      <c r="P5" s="26"/>
      <c r="R5" s="22">
        <v>1</v>
      </c>
      <c r="S5" s="27">
        <v>897</v>
      </c>
      <c r="T5" s="27">
        <v>1110</v>
      </c>
      <c r="U5" s="27">
        <v>1279</v>
      </c>
      <c r="V5" s="27">
        <v>1460</v>
      </c>
      <c r="W5" s="27">
        <v>1625</v>
      </c>
      <c r="X5" s="28">
        <v>1813</v>
      </c>
      <c r="Z5" s="29" t="s">
        <v>33</v>
      </c>
      <c r="AA5" s="30">
        <v>4</v>
      </c>
      <c r="AB5" s="28">
        <v>5</v>
      </c>
      <c r="AD5" s="31" t="s">
        <v>40</v>
      </c>
      <c r="AE5" s="32">
        <v>640</v>
      </c>
      <c r="AF5" s="32">
        <v>4560</v>
      </c>
      <c r="AG5" s="32">
        <v>9600</v>
      </c>
      <c r="AH5" s="33">
        <v>21312</v>
      </c>
      <c r="AI5" s="34"/>
      <c r="AJ5" s="31" t="s">
        <v>40</v>
      </c>
      <c r="AK5" s="32">
        <v>750</v>
      </c>
      <c r="AL5" s="32">
        <v>4500</v>
      </c>
      <c r="AM5" s="32">
        <v>5500</v>
      </c>
      <c r="AN5" s="33">
        <v>8500</v>
      </c>
      <c r="AP5" s="216"/>
      <c r="AQ5" s="213"/>
      <c r="AR5" s="214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</row>
    <row r="6" spans="1:60" x14ac:dyDescent="0.25">
      <c r="A6" s="8" t="s">
        <v>62</v>
      </c>
      <c r="E6" s="39">
        <v>2</v>
      </c>
      <c r="F6" s="647"/>
      <c r="G6" s="35">
        <v>2</v>
      </c>
      <c r="H6" s="36"/>
      <c r="I6" s="37"/>
      <c r="J6" s="647"/>
      <c r="K6" s="35">
        <v>2</v>
      </c>
      <c r="L6" s="36"/>
      <c r="M6" s="37"/>
      <c r="O6" s="41" t="s">
        <v>41</v>
      </c>
      <c r="P6" s="42" t="s">
        <v>42</v>
      </c>
      <c r="R6" s="43">
        <v>2</v>
      </c>
      <c r="S6" s="44">
        <v>1118</v>
      </c>
      <c r="T6" s="44">
        <v>1258</v>
      </c>
      <c r="U6" s="44">
        <v>1411</v>
      </c>
      <c r="V6" s="44">
        <v>1591</v>
      </c>
      <c r="W6" s="44">
        <v>1760</v>
      </c>
      <c r="X6" s="37">
        <v>1956</v>
      </c>
      <c r="Z6" s="35" t="s">
        <v>34</v>
      </c>
      <c r="AA6" s="36">
        <v>6</v>
      </c>
      <c r="AB6" s="37">
        <v>7</v>
      </c>
      <c r="AD6" s="31" t="s">
        <v>43</v>
      </c>
      <c r="AE6" s="32">
        <v>1600</v>
      </c>
      <c r="AF6" s="32">
        <v>4584</v>
      </c>
      <c r="AG6" s="32">
        <v>9600</v>
      </c>
      <c r="AH6" s="33">
        <v>21312</v>
      </c>
      <c r="AI6" s="34"/>
      <c r="AJ6" s="31" t="s">
        <v>43</v>
      </c>
      <c r="AK6" s="32">
        <v>800</v>
      </c>
      <c r="AL6" s="32">
        <v>4550</v>
      </c>
      <c r="AM6" s="32">
        <v>5550</v>
      </c>
      <c r="AN6" s="33">
        <v>8585</v>
      </c>
      <c r="AP6" s="216"/>
      <c r="AQ6" s="213"/>
      <c r="AR6" s="214"/>
      <c r="AS6" s="210"/>
      <c r="AT6" s="210"/>
      <c r="AU6" s="210"/>
      <c r="AV6" s="210"/>
      <c r="AW6" s="210"/>
      <c r="AX6" s="210"/>
      <c r="AY6" s="210"/>
      <c r="AZ6" s="210"/>
      <c r="BA6" s="210"/>
      <c r="BB6" s="210"/>
      <c r="BC6" s="210"/>
      <c r="BD6" s="210"/>
      <c r="BE6" s="210"/>
      <c r="BF6" s="210"/>
      <c r="BG6" s="210"/>
      <c r="BH6" s="210"/>
    </row>
    <row r="7" spans="1:60" x14ac:dyDescent="0.25">
      <c r="A7" s="54" t="s">
        <v>386</v>
      </c>
      <c r="B7" s="55" t="b">
        <v>1</v>
      </c>
      <c r="E7" s="39">
        <v>3</v>
      </c>
      <c r="F7" s="647"/>
      <c r="G7" s="35">
        <v>3</v>
      </c>
      <c r="H7" s="36"/>
      <c r="I7" s="37"/>
      <c r="J7" s="647"/>
      <c r="K7" s="35">
        <v>3</v>
      </c>
      <c r="L7" s="36"/>
      <c r="M7" s="37"/>
      <c r="O7" s="45" t="s">
        <v>44</v>
      </c>
      <c r="P7" s="46" t="s">
        <v>45</v>
      </c>
      <c r="R7" s="43">
        <v>3</v>
      </c>
      <c r="S7" s="44">
        <v>1393</v>
      </c>
      <c r="T7" s="44">
        <v>1426</v>
      </c>
      <c r="U7" s="44">
        <v>1556</v>
      </c>
      <c r="V7" s="44">
        <v>1734</v>
      </c>
      <c r="W7" s="44">
        <v>1907</v>
      </c>
      <c r="X7" s="37">
        <v>2110</v>
      </c>
      <c r="Z7" s="35" t="s">
        <v>35</v>
      </c>
      <c r="AA7" s="36">
        <v>8</v>
      </c>
      <c r="AB7" s="37">
        <v>9</v>
      </c>
      <c r="AD7" s="31" t="s">
        <v>46</v>
      </c>
      <c r="AE7" s="32">
        <v>1606</v>
      </c>
      <c r="AF7" s="32">
        <v>4606</v>
      </c>
      <c r="AG7" s="32">
        <v>9600</v>
      </c>
      <c r="AH7" s="33">
        <v>21312</v>
      </c>
      <c r="AI7" s="34"/>
      <c r="AJ7" s="31" t="s">
        <v>46</v>
      </c>
      <c r="AK7" s="32">
        <v>850</v>
      </c>
      <c r="AL7" s="32">
        <v>4600</v>
      </c>
      <c r="AM7" s="32">
        <v>5600</v>
      </c>
      <c r="AN7" s="33">
        <v>8671</v>
      </c>
      <c r="AP7" s="216"/>
      <c r="AQ7" s="213"/>
      <c r="AR7" s="214"/>
      <c r="AS7" s="210"/>
      <c r="AT7" s="210"/>
      <c r="AU7" s="210"/>
      <c r="AV7" s="210"/>
      <c r="AW7" s="210"/>
      <c r="AX7" s="210"/>
      <c r="AY7" s="210"/>
      <c r="AZ7" s="210"/>
      <c r="BA7" s="210"/>
      <c r="BB7" s="210"/>
      <c r="BC7" s="210"/>
      <c r="BD7" s="210"/>
      <c r="BE7" s="210"/>
      <c r="BF7" s="210"/>
      <c r="BG7" s="210"/>
      <c r="BH7" s="210"/>
    </row>
    <row r="8" spans="1:60" ht="15.75" thickBot="1" x14ac:dyDescent="0.3">
      <c r="A8" s="54" t="s">
        <v>387</v>
      </c>
      <c r="B8" s="55" t="b">
        <v>1</v>
      </c>
      <c r="E8" s="39">
        <v>4</v>
      </c>
      <c r="F8" s="647"/>
      <c r="G8" s="35">
        <v>3</v>
      </c>
      <c r="H8" s="36"/>
      <c r="I8" s="37"/>
      <c r="J8" s="647"/>
      <c r="K8" s="35">
        <v>3</v>
      </c>
      <c r="L8" s="36"/>
      <c r="M8" s="37"/>
      <c r="O8" s="45" t="s">
        <v>47</v>
      </c>
      <c r="P8" s="46" t="s">
        <v>48</v>
      </c>
      <c r="R8" s="43">
        <v>4</v>
      </c>
      <c r="S8" s="44">
        <v>1736</v>
      </c>
      <c r="T8" s="44">
        <v>1616</v>
      </c>
      <c r="U8" s="44">
        <v>1717</v>
      </c>
      <c r="V8" s="44">
        <v>1890</v>
      </c>
      <c r="W8" s="44">
        <v>2066</v>
      </c>
      <c r="X8" s="37">
        <v>2277</v>
      </c>
      <c r="Z8" s="47" t="s">
        <v>36</v>
      </c>
      <c r="AA8" s="48">
        <v>16</v>
      </c>
      <c r="AB8" s="49">
        <v>18</v>
      </c>
      <c r="AD8" s="31" t="s">
        <v>49</v>
      </c>
      <c r="AE8" s="32">
        <v>2254</v>
      </c>
      <c r="AF8" s="32">
        <v>4624</v>
      </c>
      <c r="AG8" s="32">
        <v>9600</v>
      </c>
      <c r="AH8" s="33">
        <v>21312</v>
      </c>
      <c r="AI8" s="34"/>
      <c r="AJ8" s="31" t="s">
        <v>49</v>
      </c>
      <c r="AK8" s="32">
        <v>900</v>
      </c>
      <c r="AL8" s="32">
        <v>4650</v>
      </c>
      <c r="AM8" s="32">
        <v>5650</v>
      </c>
      <c r="AN8" s="33">
        <v>8758</v>
      </c>
      <c r="AP8" s="216"/>
      <c r="AQ8" s="213"/>
      <c r="AR8" s="214"/>
      <c r="AS8" s="210"/>
      <c r="AT8" s="210"/>
      <c r="AU8" s="210"/>
      <c r="AV8" s="210"/>
      <c r="AW8" s="210"/>
      <c r="AX8" s="210"/>
      <c r="AY8" s="210"/>
      <c r="AZ8" s="210"/>
      <c r="BA8" s="210"/>
      <c r="BB8" s="210"/>
      <c r="BC8" s="210"/>
      <c r="BD8" s="210"/>
      <c r="BE8" s="210"/>
      <c r="BF8" s="210"/>
      <c r="BG8" s="210"/>
      <c r="BH8" s="210"/>
    </row>
    <row r="9" spans="1:60" x14ac:dyDescent="0.25">
      <c r="A9" s="54" t="s">
        <v>388</v>
      </c>
      <c r="B9" s="55" t="b">
        <v>1</v>
      </c>
      <c r="E9" s="39">
        <v>5</v>
      </c>
      <c r="F9" s="647"/>
      <c r="G9" s="35"/>
      <c r="H9" s="36"/>
      <c r="I9" s="37"/>
      <c r="J9" s="647"/>
      <c r="K9" s="35"/>
      <c r="L9" s="36"/>
      <c r="M9" s="37"/>
      <c r="O9" s="45" t="s">
        <v>50</v>
      </c>
      <c r="P9" s="46" t="s">
        <v>51</v>
      </c>
      <c r="R9" s="43">
        <v>5</v>
      </c>
      <c r="S9" s="44">
        <v>2163</v>
      </c>
      <c r="T9" s="44">
        <v>1831</v>
      </c>
      <c r="U9" s="44">
        <v>1893</v>
      </c>
      <c r="V9" s="44">
        <v>2060</v>
      </c>
      <c r="W9" s="44">
        <v>2238</v>
      </c>
      <c r="X9" s="37">
        <v>2457</v>
      </c>
      <c r="AD9" s="31" t="s">
        <v>52</v>
      </c>
      <c r="AE9" s="32">
        <v>2260</v>
      </c>
      <c r="AF9" s="32">
        <v>4654</v>
      </c>
      <c r="AG9" s="32">
        <v>9600</v>
      </c>
      <c r="AH9" s="33">
        <v>21312</v>
      </c>
      <c r="AI9" s="34"/>
      <c r="AJ9" s="31" t="s">
        <v>52</v>
      </c>
      <c r="AK9" s="32">
        <v>950</v>
      </c>
      <c r="AL9" s="32">
        <v>4700</v>
      </c>
      <c r="AM9" s="32">
        <v>5700</v>
      </c>
      <c r="AN9" s="33">
        <v>8845</v>
      </c>
      <c r="AP9" s="216"/>
      <c r="AQ9" s="213"/>
      <c r="AR9" s="214"/>
      <c r="AS9" s="210"/>
      <c r="AT9" s="210"/>
      <c r="AU9" s="210"/>
      <c r="AV9" s="210"/>
      <c r="AW9" s="210"/>
      <c r="AX9" s="210"/>
      <c r="AY9" s="210"/>
      <c r="AZ9" s="210"/>
      <c r="BA9" s="210"/>
      <c r="BB9" s="210"/>
      <c r="BC9" s="210"/>
      <c r="BD9" s="210"/>
      <c r="BE9" s="210"/>
      <c r="BF9" s="210"/>
      <c r="BG9" s="210"/>
      <c r="BH9" s="210"/>
    </row>
    <row r="10" spans="1:60" ht="15.75" thickBot="1" x14ac:dyDescent="0.3">
      <c r="A10" s="54" t="s">
        <v>389</v>
      </c>
      <c r="B10" s="55" t="b">
        <v>1</v>
      </c>
      <c r="E10" s="50">
        <v>6</v>
      </c>
      <c r="F10" s="648"/>
      <c r="G10" s="47"/>
      <c r="H10" s="48"/>
      <c r="I10" s="49"/>
      <c r="J10" s="648"/>
      <c r="K10" s="47"/>
      <c r="L10" s="48"/>
      <c r="M10" s="49"/>
      <c r="O10" s="45" t="s">
        <v>53</v>
      </c>
      <c r="P10" s="46" t="s">
        <v>54</v>
      </c>
      <c r="R10" s="43">
        <v>6</v>
      </c>
      <c r="S10" s="44">
        <v>2695</v>
      </c>
      <c r="T10" s="44">
        <v>2075</v>
      </c>
      <c r="U10" s="44">
        <v>2088</v>
      </c>
      <c r="V10" s="44">
        <v>2245</v>
      </c>
      <c r="W10" s="44">
        <v>2424</v>
      </c>
      <c r="X10" s="37">
        <v>2651</v>
      </c>
      <c r="AD10" s="31" t="s">
        <v>55</v>
      </c>
      <c r="AE10" s="32">
        <v>2264</v>
      </c>
      <c r="AF10" s="32">
        <v>4684</v>
      </c>
      <c r="AG10" s="32">
        <v>9600</v>
      </c>
      <c r="AH10" s="33">
        <v>21312</v>
      </c>
      <c r="AI10" s="34"/>
      <c r="AJ10" s="31" t="s">
        <v>55</v>
      </c>
      <c r="AK10" s="32">
        <v>1000</v>
      </c>
      <c r="AL10" s="32">
        <v>4750</v>
      </c>
      <c r="AM10" s="32">
        <v>5750</v>
      </c>
      <c r="AN10" s="33">
        <v>8934</v>
      </c>
      <c r="AP10" s="216"/>
      <c r="AQ10" s="213"/>
      <c r="AR10" s="214"/>
      <c r="AS10" s="210"/>
      <c r="AT10" s="210"/>
      <c r="AU10" s="210"/>
      <c r="AV10" s="210"/>
      <c r="AW10" s="210"/>
      <c r="AX10" s="210"/>
      <c r="AY10" s="210"/>
      <c r="AZ10" s="210"/>
      <c r="BA10" s="210"/>
      <c r="BB10" s="210"/>
      <c r="BC10" s="210"/>
      <c r="BD10" s="210"/>
      <c r="BE10" s="210"/>
      <c r="BF10" s="210"/>
      <c r="BG10" s="210"/>
      <c r="BH10" s="210"/>
    </row>
    <row r="11" spans="1:60" ht="15.75" thickBot="1" x14ac:dyDescent="0.3">
      <c r="A11" s="54" t="s">
        <v>390</v>
      </c>
      <c r="B11" s="55" t="b">
        <v>1</v>
      </c>
      <c r="O11" s="45" t="s">
        <v>56</v>
      </c>
      <c r="P11" s="46" t="s">
        <v>57</v>
      </c>
      <c r="R11" s="43">
        <v>7</v>
      </c>
      <c r="S11" s="44">
        <v>3359</v>
      </c>
      <c r="T11" s="44">
        <v>2351</v>
      </c>
      <c r="U11" s="44">
        <v>2303</v>
      </c>
      <c r="V11" s="44">
        <v>2447</v>
      </c>
      <c r="W11" s="44">
        <v>2626</v>
      </c>
      <c r="X11" s="37">
        <v>2860</v>
      </c>
      <c r="AD11" s="31" t="s">
        <v>58</v>
      </c>
      <c r="AE11" s="32">
        <v>1624</v>
      </c>
      <c r="AF11" s="32">
        <v>4116</v>
      </c>
      <c r="AG11" s="32">
        <v>8400</v>
      </c>
      <c r="AH11" s="33">
        <v>21312</v>
      </c>
      <c r="AI11" s="34"/>
      <c r="AJ11" s="31" t="s">
        <v>58</v>
      </c>
      <c r="AK11" s="32">
        <v>1200</v>
      </c>
      <c r="AL11" s="32">
        <v>4950</v>
      </c>
      <c r="AM11" s="32">
        <v>5950</v>
      </c>
      <c r="AN11" s="33">
        <v>9023</v>
      </c>
      <c r="AP11" s="216"/>
      <c r="AQ11" s="213"/>
      <c r="AR11" s="214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</row>
    <row r="12" spans="1:60" ht="15.75" thickBot="1" x14ac:dyDescent="0.3">
      <c r="E12" s="643" t="s">
        <v>20</v>
      </c>
      <c r="F12" s="645"/>
      <c r="G12" s="51" t="s">
        <v>17</v>
      </c>
      <c r="H12" s="52" t="s">
        <v>18</v>
      </c>
      <c r="I12" s="53" t="s">
        <v>19</v>
      </c>
      <c r="J12" s="12"/>
      <c r="K12" s="51" t="s">
        <v>17</v>
      </c>
      <c r="L12" s="52" t="s">
        <v>18</v>
      </c>
      <c r="M12" s="53" t="s">
        <v>19</v>
      </c>
      <c r="O12" s="45" t="s">
        <v>59</v>
      </c>
      <c r="P12" s="46" t="s">
        <v>60</v>
      </c>
      <c r="R12" s="43">
        <v>8</v>
      </c>
      <c r="S12" s="44">
        <v>4185</v>
      </c>
      <c r="T12" s="44">
        <v>2664</v>
      </c>
      <c r="U12" s="44">
        <v>2541</v>
      </c>
      <c r="V12" s="44">
        <v>2666</v>
      </c>
      <c r="W12" s="44">
        <v>2845</v>
      </c>
      <c r="X12" s="37">
        <v>3086</v>
      </c>
      <c r="AD12" s="31" t="s">
        <v>61</v>
      </c>
      <c r="AE12" s="32">
        <v>2288</v>
      </c>
      <c r="AF12" s="32">
        <v>4752</v>
      </c>
      <c r="AG12" s="32">
        <v>9600</v>
      </c>
      <c r="AH12" s="33">
        <v>21312</v>
      </c>
      <c r="AI12" s="34"/>
      <c r="AJ12" s="31" t="s">
        <v>61</v>
      </c>
      <c r="AK12" s="32">
        <v>1200</v>
      </c>
      <c r="AL12" s="32">
        <v>4950</v>
      </c>
      <c r="AM12" s="32">
        <v>5950</v>
      </c>
      <c r="AN12" s="33">
        <v>9023</v>
      </c>
      <c r="AP12" s="216"/>
      <c r="AQ12" s="213"/>
      <c r="AR12" s="214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</row>
    <row r="13" spans="1:60" ht="15.75" thickBot="1" x14ac:dyDescent="0.3">
      <c r="A13" s="8" t="s">
        <v>84</v>
      </c>
      <c r="E13" s="21">
        <v>1</v>
      </c>
      <c r="F13" s="646" t="s">
        <v>38</v>
      </c>
      <c r="G13" s="23">
        <v>4</v>
      </c>
      <c r="H13" s="24"/>
      <c r="I13" s="25"/>
      <c r="J13" s="646" t="s">
        <v>39</v>
      </c>
      <c r="K13" s="23">
        <v>2</v>
      </c>
      <c r="L13" s="24"/>
      <c r="M13" s="25"/>
      <c r="O13" s="45" t="s">
        <v>63</v>
      </c>
      <c r="P13" s="46" t="s">
        <v>64</v>
      </c>
      <c r="R13" s="43">
        <v>9</v>
      </c>
      <c r="S13" s="48">
        <v>5215</v>
      </c>
      <c r="T13" s="44">
        <v>3019</v>
      </c>
      <c r="U13" s="44">
        <v>2802</v>
      </c>
      <c r="V13" s="44">
        <v>2906</v>
      </c>
      <c r="W13" s="44">
        <v>3082</v>
      </c>
      <c r="X13" s="37">
        <v>3329</v>
      </c>
      <c r="AD13" s="31" t="s">
        <v>65</v>
      </c>
      <c r="AE13" s="32">
        <v>2296</v>
      </c>
      <c r="AF13" s="32">
        <v>4768</v>
      </c>
      <c r="AG13" s="32">
        <v>9600</v>
      </c>
      <c r="AH13" s="33">
        <v>21312</v>
      </c>
      <c r="AI13" s="34"/>
      <c r="AJ13" s="31" t="s">
        <v>65</v>
      </c>
      <c r="AK13" s="32">
        <v>1250</v>
      </c>
      <c r="AL13" s="32">
        <v>5000</v>
      </c>
      <c r="AM13" s="32">
        <v>6000</v>
      </c>
      <c r="AN13" s="33">
        <v>9113</v>
      </c>
      <c r="AP13" s="216"/>
      <c r="AQ13" s="213"/>
      <c r="AR13" s="214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</row>
    <row r="14" spans="1:60" ht="15.75" thickBot="1" x14ac:dyDescent="0.3">
      <c r="A14" s="54" t="s">
        <v>88</v>
      </c>
      <c r="B14" s="55" t="b">
        <v>0</v>
      </c>
      <c r="E14" s="39">
        <v>2</v>
      </c>
      <c r="F14" s="647"/>
      <c r="G14" s="35">
        <v>6</v>
      </c>
      <c r="H14" s="36"/>
      <c r="I14" s="37"/>
      <c r="J14" s="647"/>
      <c r="K14" s="35">
        <v>3</v>
      </c>
      <c r="L14" s="36"/>
      <c r="M14" s="37"/>
      <c r="O14" s="45" t="s">
        <v>66</v>
      </c>
      <c r="P14" s="46" t="s">
        <v>67</v>
      </c>
      <c r="R14" s="43">
        <v>10</v>
      </c>
      <c r="S14" s="56">
        <v>0</v>
      </c>
      <c r="T14" s="44">
        <v>3421</v>
      </c>
      <c r="U14" s="44">
        <v>3091</v>
      </c>
      <c r="V14" s="44">
        <v>3167</v>
      </c>
      <c r="W14" s="44">
        <v>3338</v>
      </c>
      <c r="X14" s="37">
        <v>3592</v>
      </c>
      <c r="AD14" s="31" t="s">
        <v>68</v>
      </c>
      <c r="AE14" s="32">
        <v>2304</v>
      </c>
      <c r="AF14" s="32">
        <v>4768</v>
      </c>
      <c r="AG14" s="32">
        <v>9600</v>
      </c>
      <c r="AH14" s="33">
        <v>21312</v>
      </c>
      <c r="AI14" s="34"/>
      <c r="AJ14" s="31" t="s">
        <v>68</v>
      </c>
      <c r="AK14" s="32">
        <v>1300</v>
      </c>
      <c r="AL14" s="32">
        <v>5050</v>
      </c>
      <c r="AM14" s="32">
        <v>6050</v>
      </c>
      <c r="AN14" s="33">
        <v>9204</v>
      </c>
      <c r="AP14" s="216"/>
      <c r="AQ14" s="213"/>
      <c r="AR14" s="214"/>
      <c r="AS14" s="210"/>
      <c r="AT14" s="210"/>
      <c r="AU14" s="210"/>
      <c r="AV14" s="210"/>
      <c r="AW14" s="210"/>
      <c r="AX14" s="210"/>
      <c r="AY14" s="210"/>
      <c r="AZ14" s="210"/>
      <c r="BA14" s="210"/>
      <c r="BB14" s="210"/>
      <c r="BC14" s="210"/>
      <c r="BD14" s="210"/>
      <c r="BE14" s="210"/>
      <c r="BF14" s="210"/>
      <c r="BG14" s="210"/>
      <c r="BH14" s="210"/>
    </row>
    <row r="15" spans="1:60" x14ac:dyDescent="0.25">
      <c r="E15" s="39">
        <v>3</v>
      </c>
      <c r="F15" s="647"/>
      <c r="G15" s="35"/>
      <c r="H15" s="36">
        <v>2</v>
      </c>
      <c r="I15" s="37"/>
      <c r="J15" s="647"/>
      <c r="K15" s="35"/>
      <c r="L15" s="36">
        <v>1</v>
      </c>
      <c r="M15" s="37"/>
      <c r="O15" s="45" t="s">
        <v>69</v>
      </c>
      <c r="P15" s="46" t="s">
        <v>70</v>
      </c>
      <c r="R15" s="43">
        <v>11</v>
      </c>
      <c r="S15" s="6"/>
      <c r="T15" s="44">
        <v>3876</v>
      </c>
      <c r="U15" s="44">
        <v>3409</v>
      </c>
      <c r="V15" s="44">
        <v>3451</v>
      </c>
      <c r="W15" s="44">
        <v>3616</v>
      </c>
      <c r="X15" s="37">
        <v>3876</v>
      </c>
      <c r="AD15" s="31" t="s">
        <v>71</v>
      </c>
      <c r="AE15" s="32">
        <v>2320</v>
      </c>
      <c r="AF15" s="32">
        <v>4808</v>
      </c>
      <c r="AG15" s="32">
        <v>9600</v>
      </c>
      <c r="AH15" s="33">
        <v>21312</v>
      </c>
      <c r="AI15" s="34"/>
      <c r="AJ15" s="31" t="s">
        <v>71</v>
      </c>
      <c r="AK15" s="32">
        <v>1350</v>
      </c>
      <c r="AL15" s="32">
        <v>5100</v>
      </c>
      <c r="AM15" s="32">
        <v>6100</v>
      </c>
      <c r="AN15" s="33">
        <v>9296</v>
      </c>
    </row>
    <row r="16" spans="1:60" x14ac:dyDescent="0.25">
      <c r="A16" s="8" t="s">
        <v>95</v>
      </c>
      <c r="E16" s="39">
        <v>4</v>
      </c>
      <c r="F16" s="647"/>
      <c r="G16" s="35"/>
      <c r="H16" s="36">
        <v>2</v>
      </c>
      <c r="I16" s="37"/>
      <c r="J16" s="647"/>
      <c r="K16" s="35"/>
      <c r="L16" s="36">
        <v>2</v>
      </c>
      <c r="M16" s="37"/>
      <c r="O16" s="45" t="s">
        <v>72</v>
      </c>
      <c r="P16" s="46" t="s">
        <v>73</v>
      </c>
      <c r="R16" s="43">
        <v>12</v>
      </c>
      <c r="S16" s="6"/>
      <c r="T16" s="44">
        <v>4392</v>
      </c>
      <c r="U16" s="44">
        <v>3760</v>
      </c>
      <c r="V16" s="44">
        <v>3761</v>
      </c>
      <c r="W16" s="44">
        <v>3918</v>
      </c>
      <c r="X16" s="37">
        <v>4182</v>
      </c>
      <c r="AD16" s="31" t="s">
        <v>74</v>
      </c>
      <c r="AE16" s="32">
        <v>2336</v>
      </c>
      <c r="AF16" s="32">
        <v>4894</v>
      </c>
      <c r="AG16" s="32">
        <v>9600</v>
      </c>
      <c r="AH16" s="33">
        <v>21312</v>
      </c>
      <c r="AI16" s="34"/>
      <c r="AJ16" s="31" t="s">
        <v>74</v>
      </c>
      <c r="AK16" s="32">
        <v>1400</v>
      </c>
      <c r="AL16" s="32">
        <v>5150</v>
      </c>
      <c r="AM16" s="32">
        <v>6150</v>
      </c>
      <c r="AN16" s="33">
        <v>9389</v>
      </c>
    </row>
    <row r="17" spans="1:40" x14ac:dyDescent="0.25">
      <c r="A17" s="54" t="s">
        <v>99</v>
      </c>
      <c r="B17" s="55" t="b">
        <v>1</v>
      </c>
      <c r="E17" s="39">
        <v>5</v>
      </c>
      <c r="F17" s="647"/>
      <c r="G17" s="35"/>
      <c r="H17" s="36">
        <v>5</v>
      </c>
      <c r="I17" s="37"/>
      <c r="J17" s="647"/>
      <c r="K17" s="35"/>
      <c r="L17" s="36">
        <v>3</v>
      </c>
      <c r="M17" s="37"/>
      <c r="O17" s="45" t="s">
        <v>75</v>
      </c>
      <c r="P17" s="46" t="s">
        <v>76</v>
      </c>
      <c r="R17" s="43">
        <v>13</v>
      </c>
      <c r="S17" s="6"/>
      <c r="T17" s="44">
        <v>4977</v>
      </c>
      <c r="U17" s="44">
        <v>4147</v>
      </c>
      <c r="V17" s="44">
        <v>4099</v>
      </c>
      <c r="W17" s="44">
        <v>4244</v>
      </c>
      <c r="X17" s="37">
        <v>4512</v>
      </c>
      <c r="AD17" s="31" t="s">
        <v>77</v>
      </c>
      <c r="AE17" s="32">
        <v>2352</v>
      </c>
      <c r="AF17" s="32">
        <v>4864</v>
      </c>
      <c r="AG17" s="32">
        <v>9600</v>
      </c>
      <c r="AH17" s="33">
        <v>21312</v>
      </c>
      <c r="AI17" s="34"/>
      <c r="AJ17" s="31" t="s">
        <v>77</v>
      </c>
      <c r="AK17" s="32">
        <v>1450</v>
      </c>
      <c r="AL17" s="32">
        <v>5200</v>
      </c>
      <c r="AM17" s="32">
        <v>6200</v>
      </c>
      <c r="AN17" s="33">
        <v>9483</v>
      </c>
    </row>
    <row r="18" spans="1:40" ht="15.75" thickBot="1" x14ac:dyDescent="0.3">
      <c r="A18" s="54" t="s">
        <v>103</v>
      </c>
      <c r="B18" s="55" t="b">
        <v>1</v>
      </c>
      <c r="E18" s="50">
        <v>6</v>
      </c>
      <c r="F18" s="648"/>
      <c r="G18" s="47"/>
      <c r="H18" s="48">
        <v>6</v>
      </c>
      <c r="I18" s="49"/>
      <c r="J18" s="648"/>
      <c r="K18" s="47"/>
      <c r="L18" s="48">
        <v>4</v>
      </c>
      <c r="M18" s="49"/>
      <c r="O18" s="45" t="s">
        <v>78</v>
      </c>
      <c r="P18" s="46" t="s">
        <v>79</v>
      </c>
      <c r="R18" s="43">
        <v>14</v>
      </c>
      <c r="S18" s="6"/>
      <c r="T18" s="44">
        <v>5640</v>
      </c>
      <c r="U18" s="44">
        <v>4574</v>
      </c>
      <c r="V18" s="44">
        <v>4467</v>
      </c>
      <c r="W18" s="44">
        <v>4597</v>
      </c>
      <c r="X18" s="37">
        <v>4869</v>
      </c>
      <c r="AD18" s="31" t="s">
        <v>80</v>
      </c>
      <c r="AE18" s="32">
        <v>1684</v>
      </c>
      <c r="AF18" s="32">
        <v>4344</v>
      </c>
      <c r="AG18" s="32">
        <v>8400</v>
      </c>
      <c r="AH18" s="33">
        <v>23976</v>
      </c>
      <c r="AI18" s="34"/>
      <c r="AJ18" s="31" t="s">
        <v>80</v>
      </c>
      <c r="AK18" s="32">
        <v>1650</v>
      </c>
      <c r="AL18" s="32">
        <v>5400</v>
      </c>
      <c r="AM18" s="32">
        <v>6400</v>
      </c>
      <c r="AN18" s="33">
        <v>9578</v>
      </c>
    </row>
    <row r="19" spans="1:40" ht="15.75" thickBot="1" x14ac:dyDescent="0.3">
      <c r="A19" s="54" t="s">
        <v>107</v>
      </c>
      <c r="B19" s="55" t="b">
        <v>1</v>
      </c>
      <c r="O19" s="45" t="s">
        <v>81</v>
      </c>
      <c r="P19" s="46" t="s">
        <v>82</v>
      </c>
      <c r="R19" s="43">
        <v>15</v>
      </c>
      <c r="S19" s="6"/>
      <c r="T19" s="44">
        <v>6390</v>
      </c>
      <c r="U19" s="44">
        <v>5045</v>
      </c>
      <c r="V19" s="44">
        <v>4868</v>
      </c>
      <c r="W19" s="44">
        <v>4980</v>
      </c>
      <c r="X19" s="37">
        <v>5253</v>
      </c>
      <c r="AD19" s="31" t="s">
        <v>83</v>
      </c>
      <c r="AE19" s="32">
        <v>3060</v>
      </c>
      <c r="AF19" s="32">
        <v>5564</v>
      </c>
      <c r="AG19" s="32">
        <v>10800</v>
      </c>
      <c r="AH19" s="33">
        <v>23976</v>
      </c>
      <c r="AI19" s="34"/>
      <c r="AJ19" s="31" t="s">
        <v>83</v>
      </c>
      <c r="AK19" s="32">
        <v>1650</v>
      </c>
      <c r="AL19" s="32">
        <v>5400</v>
      </c>
      <c r="AM19" s="32">
        <v>6400</v>
      </c>
      <c r="AN19" s="33">
        <v>9674</v>
      </c>
    </row>
    <row r="20" spans="1:40" ht="15.75" thickBot="1" x14ac:dyDescent="0.3">
      <c r="A20" s="54" t="s">
        <v>111</v>
      </c>
      <c r="B20" s="55" t="b">
        <v>1</v>
      </c>
      <c r="C20" s="3" t="s">
        <v>112</v>
      </c>
      <c r="E20" s="643" t="s">
        <v>21</v>
      </c>
      <c r="F20" s="645"/>
      <c r="G20" s="51" t="s">
        <v>17</v>
      </c>
      <c r="H20" s="52" t="s">
        <v>18</v>
      </c>
      <c r="I20" s="53" t="s">
        <v>19</v>
      </c>
      <c r="J20" s="12"/>
      <c r="K20" s="51" t="s">
        <v>17</v>
      </c>
      <c r="L20" s="52" t="s">
        <v>18</v>
      </c>
      <c r="M20" s="53" t="s">
        <v>19</v>
      </c>
      <c r="O20" s="45" t="s">
        <v>85</v>
      </c>
      <c r="P20" s="46" t="s">
        <v>86</v>
      </c>
      <c r="R20" s="43">
        <v>16</v>
      </c>
      <c r="S20" s="6"/>
      <c r="T20" s="44">
        <v>7241</v>
      </c>
      <c r="U20" s="44">
        <v>5565</v>
      </c>
      <c r="V20" s="44">
        <v>5305</v>
      </c>
      <c r="W20" s="44">
        <v>5395</v>
      </c>
      <c r="X20" s="37">
        <v>5668</v>
      </c>
      <c r="AD20" s="31" t="s">
        <v>87</v>
      </c>
      <c r="AE20" s="32">
        <v>3096</v>
      </c>
      <c r="AF20" s="32">
        <v>5670</v>
      </c>
      <c r="AG20" s="32">
        <v>10800</v>
      </c>
      <c r="AH20" s="33">
        <v>23976</v>
      </c>
      <c r="AI20" s="34"/>
      <c r="AJ20" s="31" t="s">
        <v>87</v>
      </c>
      <c r="AK20" s="32">
        <v>1700</v>
      </c>
      <c r="AL20" s="32">
        <v>5450</v>
      </c>
      <c r="AM20" s="32">
        <v>6450</v>
      </c>
      <c r="AN20" s="33">
        <v>9771</v>
      </c>
    </row>
    <row r="21" spans="1:40" x14ac:dyDescent="0.25">
      <c r="A21" s="54" t="s">
        <v>116</v>
      </c>
      <c r="B21" s="55" t="b">
        <v>1</v>
      </c>
      <c r="E21" s="21">
        <v>1</v>
      </c>
      <c r="F21" s="646" t="s">
        <v>38</v>
      </c>
      <c r="G21" s="23"/>
      <c r="H21" s="24">
        <v>4</v>
      </c>
      <c r="I21" s="25"/>
      <c r="J21" s="646" t="s">
        <v>39</v>
      </c>
      <c r="K21" s="23"/>
      <c r="L21" s="24">
        <v>3</v>
      </c>
      <c r="M21" s="25"/>
      <c r="O21" s="45" t="s">
        <v>89</v>
      </c>
      <c r="P21" s="46" t="s">
        <v>90</v>
      </c>
      <c r="R21" s="43">
        <v>17</v>
      </c>
      <c r="S21" s="6"/>
      <c r="T21" s="44">
        <v>8205</v>
      </c>
      <c r="U21" s="44">
        <v>6138</v>
      </c>
      <c r="V21" s="44">
        <v>5782</v>
      </c>
      <c r="W21" s="44">
        <v>5844</v>
      </c>
      <c r="X21" s="37">
        <v>6115</v>
      </c>
      <c r="AD21" s="31" t="s">
        <v>91</v>
      </c>
      <c r="AE21" s="32">
        <v>3132</v>
      </c>
      <c r="AF21" s="32">
        <v>5670</v>
      </c>
      <c r="AG21" s="32">
        <v>10800</v>
      </c>
      <c r="AH21" s="33">
        <v>23976</v>
      </c>
      <c r="AI21" s="34"/>
      <c r="AJ21" s="31" t="s">
        <v>91</v>
      </c>
      <c r="AK21" s="32">
        <v>1750</v>
      </c>
      <c r="AL21" s="32">
        <v>5500</v>
      </c>
      <c r="AM21" s="32">
        <v>6500</v>
      </c>
      <c r="AN21" s="33">
        <v>9868</v>
      </c>
    </row>
    <row r="22" spans="1:40" x14ac:dyDescent="0.25">
      <c r="A22" s="54" t="s">
        <v>121</v>
      </c>
      <c r="B22" t="s">
        <v>122</v>
      </c>
      <c r="E22" s="39">
        <v>2</v>
      </c>
      <c r="F22" s="647"/>
      <c r="G22" s="35"/>
      <c r="H22" s="36">
        <v>7</v>
      </c>
      <c r="I22" s="37"/>
      <c r="J22" s="647"/>
      <c r="K22" s="35"/>
      <c r="L22" s="36">
        <v>5</v>
      </c>
      <c r="M22" s="37"/>
      <c r="O22" s="45" t="s">
        <v>92</v>
      </c>
      <c r="P22" s="46" t="s">
        <v>93</v>
      </c>
      <c r="R22" s="43">
        <v>18</v>
      </c>
      <c r="S22" s="6"/>
      <c r="T22" s="44">
        <v>9298</v>
      </c>
      <c r="U22" s="44">
        <v>6769</v>
      </c>
      <c r="V22" s="44">
        <v>6301</v>
      </c>
      <c r="W22" s="44">
        <v>6331</v>
      </c>
      <c r="X22" s="37">
        <v>6598</v>
      </c>
      <c r="AD22" s="31" t="s">
        <v>94</v>
      </c>
      <c r="AE22" s="32">
        <v>3184</v>
      </c>
      <c r="AF22" s="32">
        <v>5778</v>
      </c>
      <c r="AG22" s="32">
        <v>10800</v>
      </c>
      <c r="AH22" s="33">
        <v>23976</v>
      </c>
      <c r="AI22" s="34"/>
      <c r="AJ22" s="31" t="s">
        <v>94</v>
      </c>
      <c r="AK22" s="32">
        <v>1800</v>
      </c>
      <c r="AL22" s="32">
        <v>5550</v>
      </c>
      <c r="AM22" s="32">
        <v>6550</v>
      </c>
      <c r="AN22" s="33">
        <v>9967</v>
      </c>
    </row>
    <row r="23" spans="1:40" ht="15.75" thickBot="1" x14ac:dyDescent="0.3">
      <c r="E23" s="39">
        <v>3</v>
      </c>
      <c r="F23" s="647"/>
      <c r="G23" s="35"/>
      <c r="H23" s="36">
        <v>9</v>
      </c>
      <c r="I23" s="37"/>
      <c r="J23" s="647"/>
      <c r="K23" s="35"/>
      <c r="L23" s="36">
        <v>7</v>
      </c>
      <c r="M23" s="37"/>
      <c r="O23" s="45" t="s">
        <v>96</v>
      </c>
      <c r="P23" s="46" t="s">
        <v>97</v>
      </c>
      <c r="R23" s="43">
        <v>19</v>
      </c>
      <c r="S23" s="6"/>
      <c r="T23" s="48">
        <v>10536</v>
      </c>
      <c r="U23" s="44">
        <v>7466</v>
      </c>
      <c r="V23" s="44">
        <v>6867</v>
      </c>
      <c r="W23" s="44">
        <v>6858</v>
      </c>
      <c r="X23" s="37">
        <v>7119</v>
      </c>
      <c r="AD23" s="31" t="s">
        <v>98</v>
      </c>
      <c r="AE23" s="32">
        <v>3208</v>
      </c>
      <c r="AF23" s="32">
        <v>5778</v>
      </c>
      <c r="AG23" s="32">
        <v>10800</v>
      </c>
      <c r="AH23" s="33">
        <v>23976</v>
      </c>
      <c r="AI23" s="34"/>
      <c r="AJ23" s="31" t="s">
        <v>98</v>
      </c>
      <c r="AK23" s="32">
        <v>1850</v>
      </c>
      <c r="AL23" s="32">
        <v>5600</v>
      </c>
      <c r="AM23" s="32">
        <v>6600</v>
      </c>
      <c r="AN23" s="33">
        <v>10067</v>
      </c>
    </row>
    <row r="24" spans="1:40" ht="15.75" thickBot="1" x14ac:dyDescent="0.3">
      <c r="A24" s="8" t="s">
        <v>129</v>
      </c>
      <c r="E24" s="39">
        <v>4</v>
      </c>
      <c r="F24" s="647"/>
      <c r="G24" s="35"/>
      <c r="H24" s="36"/>
      <c r="I24" s="37">
        <v>3</v>
      </c>
      <c r="J24" s="647"/>
      <c r="K24" s="35"/>
      <c r="L24" s="36"/>
      <c r="M24" s="37">
        <v>1</v>
      </c>
      <c r="O24" s="45" t="s">
        <v>100</v>
      </c>
      <c r="P24" s="46" t="s">
        <v>101</v>
      </c>
      <c r="R24" s="43">
        <v>20</v>
      </c>
      <c r="S24" s="6"/>
      <c r="T24" s="56">
        <v>0</v>
      </c>
      <c r="U24" s="44">
        <v>8235</v>
      </c>
      <c r="V24" s="44">
        <v>7483</v>
      </c>
      <c r="W24" s="44">
        <v>7430</v>
      </c>
      <c r="X24" s="37">
        <v>7681</v>
      </c>
      <c r="AD24" s="31" t="s">
        <v>102</v>
      </c>
      <c r="AE24" s="32">
        <v>3232</v>
      </c>
      <c r="AF24" s="32">
        <v>5814</v>
      </c>
      <c r="AG24" s="32">
        <v>10800</v>
      </c>
      <c r="AH24" s="33">
        <v>23976</v>
      </c>
      <c r="AI24" s="34"/>
      <c r="AJ24" s="31" t="s">
        <v>102</v>
      </c>
      <c r="AK24" s="32">
        <v>1900</v>
      </c>
      <c r="AL24" s="32">
        <v>5650</v>
      </c>
      <c r="AM24" s="32">
        <v>6650</v>
      </c>
      <c r="AN24" s="33">
        <v>10167</v>
      </c>
    </row>
    <row r="25" spans="1:40" x14ac:dyDescent="0.25">
      <c r="A25" s="54" t="s">
        <v>391</v>
      </c>
      <c r="B25" t="s">
        <v>133</v>
      </c>
      <c r="E25" s="39">
        <v>5</v>
      </c>
      <c r="F25" s="647"/>
      <c r="G25" s="35"/>
      <c r="H25" s="36"/>
      <c r="I25" s="37">
        <v>3</v>
      </c>
      <c r="J25" s="647"/>
      <c r="K25" s="35"/>
      <c r="L25" s="36"/>
      <c r="M25" s="37">
        <v>2</v>
      </c>
      <c r="O25" s="45" t="s">
        <v>104</v>
      </c>
      <c r="P25" s="46" t="s">
        <v>105</v>
      </c>
      <c r="R25" s="43">
        <v>21</v>
      </c>
      <c r="S25" s="6"/>
      <c r="T25" s="6"/>
      <c r="U25" s="44">
        <v>9083</v>
      </c>
      <c r="V25" s="44">
        <v>8155</v>
      </c>
      <c r="W25" s="44">
        <v>8048</v>
      </c>
      <c r="X25" s="37">
        <v>8288</v>
      </c>
      <c r="AD25" s="31" t="s">
        <v>106</v>
      </c>
      <c r="AE25" s="32">
        <v>2908</v>
      </c>
      <c r="AF25" s="32">
        <v>5232</v>
      </c>
      <c r="AG25" s="32">
        <v>9600</v>
      </c>
      <c r="AH25" s="33">
        <v>26640</v>
      </c>
      <c r="AI25" s="34"/>
      <c r="AJ25" s="31" t="s">
        <v>106</v>
      </c>
      <c r="AK25" s="32">
        <v>2100</v>
      </c>
      <c r="AL25" s="32">
        <v>5850</v>
      </c>
      <c r="AM25" s="32">
        <v>6850</v>
      </c>
      <c r="AN25" s="33">
        <v>10269</v>
      </c>
    </row>
    <row r="26" spans="1:40" ht="15.75" thickBot="1" x14ac:dyDescent="0.3">
      <c r="A26" s="54" t="s">
        <v>392</v>
      </c>
      <c r="B26" t="s">
        <v>137</v>
      </c>
      <c r="E26" s="50">
        <v>6</v>
      </c>
      <c r="F26" s="648"/>
      <c r="G26" s="47"/>
      <c r="H26" s="48"/>
      <c r="I26" s="49">
        <v>4</v>
      </c>
      <c r="J26" s="648"/>
      <c r="K26" s="47"/>
      <c r="L26" s="48"/>
      <c r="M26" s="49">
        <v>2</v>
      </c>
      <c r="O26" s="45" t="s">
        <v>108</v>
      </c>
      <c r="P26" s="46" t="s">
        <v>109</v>
      </c>
      <c r="R26" s="43">
        <v>22</v>
      </c>
      <c r="S26" s="6"/>
      <c r="T26" s="6"/>
      <c r="U26" s="44">
        <v>10018</v>
      </c>
      <c r="V26" s="44">
        <v>8888</v>
      </c>
      <c r="W26" s="44">
        <v>8719</v>
      </c>
      <c r="X26" s="37">
        <v>8942</v>
      </c>
      <c r="AD26" s="31" t="s">
        <v>110</v>
      </c>
      <c r="AE26" s="32">
        <v>3640</v>
      </c>
      <c r="AF26" s="32">
        <v>6576</v>
      </c>
      <c r="AG26" s="32">
        <v>12000</v>
      </c>
      <c r="AH26" s="33">
        <v>26640</v>
      </c>
      <c r="AI26" s="34"/>
      <c r="AJ26" s="31" t="s">
        <v>110</v>
      </c>
      <c r="AK26" s="32">
        <v>2100</v>
      </c>
      <c r="AL26" s="32">
        <v>5850</v>
      </c>
      <c r="AM26" s="32">
        <v>6850</v>
      </c>
      <c r="AN26" s="33">
        <v>10372</v>
      </c>
    </row>
    <row r="27" spans="1:40" ht="15.75" thickBot="1" x14ac:dyDescent="0.3">
      <c r="O27" s="45" t="s">
        <v>113</v>
      </c>
      <c r="P27" s="46" t="s">
        <v>114</v>
      </c>
      <c r="R27" s="43">
        <v>23</v>
      </c>
      <c r="S27" s="6"/>
      <c r="T27" s="6"/>
      <c r="U27" s="44">
        <v>11050</v>
      </c>
      <c r="V27" s="44">
        <v>9686</v>
      </c>
      <c r="W27" s="44">
        <v>9445</v>
      </c>
      <c r="X27" s="37">
        <v>9648</v>
      </c>
      <c r="AD27" s="31" t="s">
        <v>115</v>
      </c>
      <c r="AE27" s="32">
        <v>3656</v>
      </c>
      <c r="AF27" s="32">
        <v>6616</v>
      </c>
      <c r="AG27" s="32">
        <v>12000</v>
      </c>
      <c r="AH27" s="33">
        <v>26640</v>
      </c>
      <c r="AI27" s="34"/>
      <c r="AJ27" s="31" t="s">
        <v>115</v>
      </c>
      <c r="AK27" s="32">
        <v>2150</v>
      </c>
      <c r="AL27" s="32">
        <v>5900</v>
      </c>
      <c r="AM27" s="32">
        <v>6900</v>
      </c>
      <c r="AN27" s="33">
        <v>10475</v>
      </c>
    </row>
    <row r="28" spans="1:40" ht="15.75" thickBot="1" x14ac:dyDescent="0.3">
      <c r="A28" s="207" t="s">
        <v>422</v>
      </c>
      <c r="E28" s="643" t="s">
        <v>117</v>
      </c>
      <c r="F28" s="645"/>
      <c r="G28" s="51" t="s">
        <v>17</v>
      </c>
      <c r="H28" s="52" t="s">
        <v>18</v>
      </c>
      <c r="I28" s="53" t="s">
        <v>19</v>
      </c>
      <c r="J28" s="12"/>
      <c r="K28" s="51" t="s">
        <v>17</v>
      </c>
      <c r="L28" s="52" t="s">
        <v>18</v>
      </c>
      <c r="M28" s="53" t="s">
        <v>19</v>
      </c>
      <c r="O28" s="45" t="s">
        <v>118</v>
      </c>
      <c r="P28" s="46" t="s">
        <v>119</v>
      </c>
      <c r="R28" s="43">
        <v>24</v>
      </c>
      <c r="S28" s="6"/>
      <c r="T28" s="6"/>
      <c r="U28" s="44">
        <v>12188</v>
      </c>
      <c r="V28" s="44">
        <v>10556</v>
      </c>
      <c r="W28" s="44">
        <v>10231</v>
      </c>
      <c r="X28" s="37">
        <v>10410</v>
      </c>
      <c r="AD28" s="31" t="s">
        <v>120</v>
      </c>
      <c r="AE28" s="32">
        <v>3696</v>
      </c>
      <c r="AF28" s="32">
        <v>6660</v>
      </c>
      <c r="AG28" s="32">
        <v>12000</v>
      </c>
      <c r="AH28" s="33">
        <v>26640</v>
      </c>
      <c r="AI28" s="34"/>
      <c r="AJ28" s="31" t="s">
        <v>120</v>
      </c>
      <c r="AK28" s="32">
        <v>2200</v>
      </c>
      <c r="AL28" s="32">
        <v>5950</v>
      </c>
      <c r="AM28" s="32">
        <v>6950</v>
      </c>
      <c r="AN28" s="33">
        <v>10580</v>
      </c>
    </row>
    <row r="29" spans="1:40" x14ac:dyDescent="0.25">
      <c r="A29" s="54" t="s">
        <v>423</v>
      </c>
      <c r="B29" s="6" t="s">
        <v>420</v>
      </c>
      <c r="C29" s="6"/>
      <c r="E29" s="21">
        <v>1</v>
      </c>
      <c r="F29" s="646" t="s">
        <v>38</v>
      </c>
      <c r="G29" s="23"/>
      <c r="H29" s="24"/>
      <c r="I29" s="25">
        <v>1</v>
      </c>
      <c r="J29" s="646" t="s">
        <v>39</v>
      </c>
      <c r="K29" s="23"/>
      <c r="L29" s="24">
        <v>5</v>
      </c>
      <c r="M29" s="25"/>
      <c r="O29" s="45" t="s">
        <v>123</v>
      </c>
      <c r="P29" s="46" t="s">
        <v>124</v>
      </c>
      <c r="R29" s="43">
        <v>25</v>
      </c>
      <c r="S29" s="6"/>
      <c r="T29" s="6"/>
      <c r="U29" s="44">
        <v>13442</v>
      </c>
      <c r="V29" s="44">
        <v>11504</v>
      </c>
      <c r="W29" s="44">
        <v>11084</v>
      </c>
      <c r="X29" s="37">
        <v>11232</v>
      </c>
      <c r="AD29" s="31" t="s">
        <v>125</v>
      </c>
      <c r="AE29" s="32">
        <v>3716</v>
      </c>
      <c r="AF29" s="32">
        <v>6664</v>
      </c>
      <c r="AG29" s="32">
        <v>12000</v>
      </c>
      <c r="AH29" s="33">
        <v>26640</v>
      </c>
      <c r="AI29" s="34"/>
      <c r="AJ29" s="31" t="s">
        <v>125</v>
      </c>
      <c r="AK29" s="32">
        <v>2250</v>
      </c>
      <c r="AL29" s="32">
        <v>6000</v>
      </c>
      <c r="AM29" s="32">
        <v>7000</v>
      </c>
      <c r="AN29" s="33">
        <v>10686</v>
      </c>
    </row>
    <row r="30" spans="1:40" x14ac:dyDescent="0.25">
      <c r="A30" s="54" t="s">
        <v>424</v>
      </c>
      <c r="B30" s="6" t="s">
        <v>421</v>
      </c>
      <c r="C30" s="6"/>
      <c r="E30" s="39">
        <v>2</v>
      </c>
      <c r="F30" s="647"/>
      <c r="G30" s="35"/>
      <c r="H30" s="36"/>
      <c r="I30" s="37">
        <v>2</v>
      </c>
      <c r="J30" s="647"/>
      <c r="K30" s="35"/>
      <c r="L30" s="36"/>
      <c r="M30" s="37">
        <v>2</v>
      </c>
      <c r="O30" s="45" t="s">
        <v>126</v>
      </c>
      <c r="P30" s="46" t="s">
        <v>127</v>
      </c>
      <c r="R30" s="43">
        <v>26</v>
      </c>
      <c r="S30" s="6"/>
      <c r="T30" s="6"/>
      <c r="U30" s="44">
        <v>14827</v>
      </c>
      <c r="V30" s="44">
        <v>12537</v>
      </c>
      <c r="W30" s="44">
        <v>12007</v>
      </c>
      <c r="X30" s="37">
        <v>12119</v>
      </c>
      <c r="AD30" s="31" t="s">
        <v>128</v>
      </c>
      <c r="AE30" s="32">
        <v>3760</v>
      </c>
      <c r="AF30" s="32">
        <v>6696</v>
      </c>
      <c r="AG30" s="32">
        <v>12000</v>
      </c>
      <c r="AH30" s="33">
        <v>26640</v>
      </c>
      <c r="AI30" s="34"/>
      <c r="AJ30" s="31" t="s">
        <v>128</v>
      </c>
      <c r="AK30" s="32">
        <v>2300</v>
      </c>
      <c r="AL30" s="32">
        <v>6050</v>
      </c>
      <c r="AM30" s="32">
        <v>7050</v>
      </c>
      <c r="AN30" s="33">
        <v>10793</v>
      </c>
    </row>
    <row r="31" spans="1:40" x14ac:dyDescent="0.25">
      <c r="A31" s="54" t="s">
        <v>425</v>
      </c>
      <c r="B31" s="6" t="s">
        <v>418</v>
      </c>
      <c r="C31" s="6"/>
      <c r="E31" s="39">
        <v>3</v>
      </c>
      <c r="F31" s="647"/>
      <c r="G31" s="35"/>
      <c r="H31" s="36"/>
      <c r="I31" s="37">
        <v>3</v>
      </c>
      <c r="J31" s="647"/>
      <c r="K31" s="35"/>
      <c r="L31" s="36"/>
      <c r="M31" s="37">
        <v>2</v>
      </c>
      <c r="O31" s="45" t="s">
        <v>130</v>
      </c>
      <c r="P31" s="46" t="s">
        <v>131</v>
      </c>
      <c r="R31" s="43">
        <v>27</v>
      </c>
      <c r="S31" s="6"/>
      <c r="T31" s="6"/>
      <c r="U31" s="44">
        <v>16353</v>
      </c>
      <c r="V31" s="44">
        <v>13663</v>
      </c>
      <c r="W31" s="44">
        <v>13007</v>
      </c>
      <c r="X31" s="37">
        <v>13076</v>
      </c>
      <c r="AD31" s="31" t="s">
        <v>132</v>
      </c>
      <c r="AE31" s="32">
        <v>3784</v>
      </c>
      <c r="AF31" s="32">
        <v>6744</v>
      </c>
      <c r="AG31" s="32">
        <v>12000</v>
      </c>
      <c r="AH31" s="33">
        <v>26640</v>
      </c>
      <c r="AI31" s="34"/>
      <c r="AJ31" s="31" t="s">
        <v>132</v>
      </c>
      <c r="AK31" s="32">
        <v>2350</v>
      </c>
      <c r="AL31" s="32">
        <v>6100</v>
      </c>
      <c r="AM31" s="32">
        <v>7100</v>
      </c>
      <c r="AN31" s="33">
        <v>10901</v>
      </c>
    </row>
    <row r="32" spans="1:40" x14ac:dyDescent="0.25">
      <c r="A32" s="54" t="s">
        <v>426</v>
      </c>
      <c r="B32" s="6" t="s">
        <v>419</v>
      </c>
      <c r="C32" s="6"/>
      <c r="E32" s="39">
        <v>4</v>
      </c>
      <c r="F32" s="647"/>
      <c r="G32" s="35"/>
      <c r="H32" s="36"/>
      <c r="I32" s="37">
        <v>4</v>
      </c>
      <c r="J32" s="647"/>
      <c r="K32" s="35"/>
      <c r="L32" s="36"/>
      <c r="M32" s="37">
        <v>3</v>
      </c>
      <c r="O32" s="45" t="s">
        <v>134</v>
      </c>
      <c r="P32" s="46" t="s">
        <v>135</v>
      </c>
      <c r="R32" s="43">
        <v>28</v>
      </c>
      <c r="S32" s="6"/>
      <c r="T32" s="6"/>
      <c r="U32" s="44">
        <v>18037</v>
      </c>
      <c r="V32" s="44">
        <v>14890</v>
      </c>
      <c r="W32" s="44">
        <v>14090</v>
      </c>
      <c r="X32" s="37">
        <v>14109</v>
      </c>
      <c r="AD32" s="31" t="s">
        <v>136</v>
      </c>
      <c r="AE32" s="32">
        <v>3788</v>
      </c>
      <c r="AF32" s="32">
        <v>6723</v>
      </c>
      <c r="AG32" s="32">
        <v>12000</v>
      </c>
      <c r="AH32" s="33">
        <v>26640</v>
      </c>
      <c r="AI32" s="34"/>
      <c r="AJ32" s="31" t="s">
        <v>136</v>
      </c>
      <c r="AK32" s="32">
        <v>2550</v>
      </c>
      <c r="AL32" s="32">
        <v>6300</v>
      </c>
      <c r="AM32" s="32">
        <v>7300</v>
      </c>
      <c r="AN32" s="33">
        <v>11010</v>
      </c>
    </row>
    <row r="33" spans="1:40" ht="15.75" thickBot="1" x14ac:dyDescent="0.3">
      <c r="A33" s="58" t="s">
        <v>171</v>
      </c>
      <c r="B33" s="6"/>
      <c r="C33" s="6"/>
      <c r="E33" s="39">
        <v>5</v>
      </c>
      <c r="F33" s="647"/>
      <c r="G33" s="35"/>
      <c r="H33" s="36"/>
      <c r="I33" s="37">
        <v>5</v>
      </c>
      <c r="J33" s="647"/>
      <c r="K33" s="35"/>
      <c r="L33" s="36"/>
      <c r="M33" s="37">
        <v>4</v>
      </c>
      <c r="O33" s="45" t="s">
        <v>138</v>
      </c>
      <c r="P33" s="46" t="s">
        <v>139</v>
      </c>
      <c r="R33" s="43">
        <v>29</v>
      </c>
      <c r="S33" s="6"/>
      <c r="T33" s="6"/>
      <c r="U33" s="48">
        <v>19894</v>
      </c>
      <c r="V33" s="44">
        <v>16227</v>
      </c>
      <c r="W33" s="44">
        <v>15264</v>
      </c>
      <c r="X33" s="37">
        <v>15223</v>
      </c>
      <c r="AD33" s="31" t="s">
        <v>140</v>
      </c>
      <c r="AE33" s="32">
        <v>4180</v>
      </c>
      <c r="AF33" s="32">
        <v>7458</v>
      </c>
      <c r="AG33" s="32">
        <v>13200</v>
      </c>
      <c r="AH33" s="33">
        <v>29304</v>
      </c>
      <c r="AI33" s="34"/>
      <c r="AJ33" s="31" t="s">
        <v>140</v>
      </c>
      <c r="AK33" s="32">
        <v>2550</v>
      </c>
      <c r="AL33" s="32">
        <v>6300</v>
      </c>
      <c r="AM33" s="32">
        <v>7300</v>
      </c>
      <c r="AN33" s="33">
        <v>11120</v>
      </c>
    </row>
    <row r="34" spans="1:40" ht="15.75" thickBot="1" x14ac:dyDescent="0.3">
      <c r="A34" s="58"/>
      <c r="B34" s="6"/>
      <c r="C34" s="6"/>
      <c r="E34" s="50">
        <v>6</v>
      </c>
      <c r="F34" s="648"/>
      <c r="G34" s="47"/>
      <c r="H34" s="48"/>
      <c r="I34" s="49">
        <v>6</v>
      </c>
      <c r="J34" s="648"/>
      <c r="K34" s="47"/>
      <c r="L34" s="48"/>
      <c r="M34" s="49">
        <v>4</v>
      </c>
      <c r="O34" s="45" t="s">
        <v>141</v>
      </c>
      <c r="P34" s="46" t="s">
        <v>142</v>
      </c>
      <c r="R34" s="43">
        <v>30</v>
      </c>
      <c r="S34" s="6"/>
      <c r="T34" s="6"/>
      <c r="U34" s="57">
        <v>0</v>
      </c>
      <c r="V34" s="44">
        <v>17684</v>
      </c>
      <c r="W34" s="44">
        <v>16535</v>
      </c>
      <c r="X34" s="37">
        <v>16425</v>
      </c>
      <c r="AD34" s="31" t="s">
        <v>143</v>
      </c>
      <c r="AE34" s="32">
        <v>4224</v>
      </c>
      <c r="AF34" s="32">
        <v>7458</v>
      </c>
      <c r="AG34" s="32">
        <v>13200</v>
      </c>
      <c r="AH34" s="33">
        <v>29304</v>
      </c>
      <c r="AI34" s="34"/>
      <c r="AJ34" s="31" t="s">
        <v>143</v>
      </c>
      <c r="AK34" s="32">
        <v>2600</v>
      </c>
      <c r="AL34" s="32">
        <v>6350</v>
      </c>
      <c r="AM34" s="32">
        <v>7350</v>
      </c>
      <c r="AN34" s="33">
        <v>11231</v>
      </c>
    </row>
    <row r="35" spans="1:40" x14ac:dyDescent="0.25">
      <c r="A35" s="58" t="s">
        <v>178</v>
      </c>
      <c r="B35" s="6"/>
      <c r="C35" s="6"/>
      <c r="O35" s="45" t="s">
        <v>144</v>
      </c>
      <c r="P35" s="46" t="s">
        <v>145</v>
      </c>
      <c r="R35" s="43">
        <v>31</v>
      </c>
      <c r="S35" s="6"/>
      <c r="T35" s="6"/>
      <c r="U35" s="6"/>
      <c r="V35" s="44">
        <v>19272</v>
      </c>
      <c r="W35" s="44">
        <v>17912</v>
      </c>
      <c r="X35" s="37">
        <v>17722</v>
      </c>
      <c r="AD35" s="31" t="s">
        <v>146</v>
      </c>
      <c r="AE35" s="32">
        <v>4248</v>
      </c>
      <c r="AF35" s="32">
        <v>7458</v>
      </c>
      <c r="AG35" s="32">
        <v>13200</v>
      </c>
      <c r="AH35" s="33">
        <v>29304</v>
      </c>
      <c r="AI35" s="34"/>
      <c r="AJ35" s="31" t="s">
        <v>146</v>
      </c>
      <c r="AK35" s="32">
        <v>2650</v>
      </c>
      <c r="AL35" s="32">
        <v>6400</v>
      </c>
      <c r="AM35" s="32">
        <v>7400</v>
      </c>
      <c r="AN35" s="33">
        <v>11343</v>
      </c>
    </row>
    <row r="36" spans="1:40" x14ac:dyDescent="0.25">
      <c r="A36" s="58"/>
      <c r="B36" s="6"/>
      <c r="C36" s="6"/>
      <c r="O36" s="45" t="s">
        <v>147</v>
      </c>
      <c r="P36" s="46" t="s">
        <v>148</v>
      </c>
      <c r="R36" s="43">
        <v>32</v>
      </c>
      <c r="S36" s="6"/>
      <c r="T36" s="6"/>
      <c r="U36" s="6"/>
      <c r="V36" s="44">
        <v>21003</v>
      </c>
      <c r="W36" s="44">
        <v>19404</v>
      </c>
      <c r="X36" s="37">
        <v>19121</v>
      </c>
      <c r="AD36" s="31" t="s">
        <v>149</v>
      </c>
      <c r="AE36" s="32">
        <v>4288</v>
      </c>
      <c r="AF36" s="32">
        <v>7556</v>
      </c>
      <c r="AG36" s="32">
        <v>13200</v>
      </c>
      <c r="AH36" s="33">
        <v>29304</v>
      </c>
      <c r="AI36" s="34"/>
      <c r="AJ36" s="31" t="s">
        <v>149</v>
      </c>
      <c r="AK36" s="32">
        <v>2700</v>
      </c>
      <c r="AL36" s="32">
        <v>6450</v>
      </c>
      <c r="AM36" s="32">
        <v>7450</v>
      </c>
      <c r="AN36" s="33">
        <v>11457</v>
      </c>
    </row>
    <row r="37" spans="1:40" x14ac:dyDescent="0.25">
      <c r="A37" s="58" t="s">
        <v>185</v>
      </c>
      <c r="B37" s="6"/>
      <c r="C37" s="6"/>
      <c r="O37" s="45" t="s">
        <v>150</v>
      </c>
      <c r="P37" s="46" t="s">
        <v>151</v>
      </c>
      <c r="R37" s="43">
        <v>33</v>
      </c>
      <c r="S37" s="6"/>
      <c r="T37" s="6"/>
      <c r="U37" s="6"/>
      <c r="V37" s="44">
        <v>22889</v>
      </c>
      <c r="W37" s="44">
        <v>21020</v>
      </c>
      <c r="X37" s="37">
        <v>20631</v>
      </c>
      <c r="AD37" s="31" t="s">
        <v>152</v>
      </c>
      <c r="AE37" s="32">
        <v>4312</v>
      </c>
      <c r="AF37" s="32">
        <v>7616</v>
      </c>
      <c r="AG37" s="32">
        <v>13200</v>
      </c>
      <c r="AH37" s="33">
        <v>29304</v>
      </c>
      <c r="AI37" s="34"/>
      <c r="AJ37" s="31" t="s">
        <v>152</v>
      </c>
      <c r="AK37" s="32">
        <v>2750</v>
      </c>
      <c r="AL37" s="32">
        <v>6500</v>
      </c>
      <c r="AM37" s="32">
        <v>7500</v>
      </c>
      <c r="AN37" s="33">
        <v>11571</v>
      </c>
    </row>
    <row r="38" spans="1:40" x14ac:dyDescent="0.25">
      <c r="A38" s="58"/>
      <c r="B38" s="6"/>
      <c r="C38" s="6"/>
      <c r="O38" s="45" t="s">
        <v>153</v>
      </c>
      <c r="P38" s="46" t="s">
        <v>154</v>
      </c>
      <c r="R38" s="43">
        <v>34</v>
      </c>
      <c r="S38" s="6"/>
      <c r="T38" s="6"/>
      <c r="U38" s="6"/>
      <c r="V38" s="44">
        <v>24945</v>
      </c>
      <c r="W38" s="44">
        <v>22770</v>
      </c>
      <c r="X38" s="37">
        <v>22260</v>
      </c>
      <c r="AD38" s="31" t="s">
        <v>155</v>
      </c>
      <c r="AE38" s="32">
        <v>4352</v>
      </c>
      <c r="AF38" s="32">
        <v>7616</v>
      </c>
      <c r="AG38" s="32">
        <v>13200</v>
      </c>
      <c r="AH38" s="33">
        <v>29304</v>
      </c>
      <c r="AI38" s="34"/>
      <c r="AJ38" s="31" t="s">
        <v>155</v>
      </c>
      <c r="AK38" s="32">
        <v>2800</v>
      </c>
      <c r="AL38" s="32">
        <v>6550</v>
      </c>
      <c r="AM38" s="32">
        <v>7550</v>
      </c>
      <c r="AN38" s="33">
        <v>11687</v>
      </c>
    </row>
    <row r="39" spans="1:40" x14ac:dyDescent="0.25">
      <c r="O39" s="45" t="s">
        <v>156</v>
      </c>
      <c r="P39" s="46" t="s">
        <v>157</v>
      </c>
      <c r="R39" s="43">
        <v>35</v>
      </c>
      <c r="S39" s="6"/>
      <c r="T39" s="6"/>
      <c r="U39" s="6"/>
      <c r="V39" s="44">
        <v>27185</v>
      </c>
      <c r="W39" s="44">
        <v>24667</v>
      </c>
      <c r="X39" s="37">
        <v>24018</v>
      </c>
      <c r="AD39" s="31" t="s">
        <v>158</v>
      </c>
      <c r="AE39" s="32">
        <v>4368</v>
      </c>
      <c r="AF39" s="32">
        <v>7584</v>
      </c>
      <c r="AG39" s="32">
        <v>13200</v>
      </c>
      <c r="AH39" s="33">
        <v>29304</v>
      </c>
      <c r="AI39" s="34"/>
      <c r="AJ39" s="31" t="s">
        <v>158</v>
      </c>
      <c r="AK39" s="32">
        <v>3000</v>
      </c>
      <c r="AL39" s="32">
        <v>6750</v>
      </c>
      <c r="AM39" s="32">
        <v>7750</v>
      </c>
      <c r="AN39" s="33">
        <v>11804</v>
      </c>
    </row>
    <row r="40" spans="1:40" x14ac:dyDescent="0.25">
      <c r="O40" s="45" t="s">
        <v>159</v>
      </c>
      <c r="P40" s="46" t="s">
        <v>160</v>
      </c>
      <c r="R40" s="43">
        <v>36</v>
      </c>
      <c r="S40" s="6"/>
      <c r="T40" s="6"/>
      <c r="U40" s="6"/>
      <c r="V40" s="44">
        <v>29627</v>
      </c>
      <c r="W40" s="44">
        <v>26721</v>
      </c>
      <c r="X40" s="37">
        <v>25914</v>
      </c>
      <c r="AD40" s="31" t="s">
        <v>161</v>
      </c>
      <c r="AE40" s="32">
        <v>4816</v>
      </c>
      <c r="AF40" s="32">
        <v>8448</v>
      </c>
      <c r="AG40" s="32">
        <v>14400</v>
      </c>
      <c r="AH40" s="33">
        <v>31968</v>
      </c>
      <c r="AI40" s="34"/>
      <c r="AJ40" s="31" t="s">
        <v>161</v>
      </c>
      <c r="AK40" s="32">
        <v>3000</v>
      </c>
      <c r="AL40" s="32">
        <v>6750</v>
      </c>
      <c r="AM40" s="32">
        <v>7750</v>
      </c>
      <c r="AN40" s="33">
        <v>11922</v>
      </c>
    </row>
    <row r="41" spans="1:40" x14ac:dyDescent="0.25">
      <c r="O41" s="45" t="s">
        <v>162</v>
      </c>
      <c r="P41" s="46" t="s">
        <v>163</v>
      </c>
      <c r="R41" s="43">
        <v>37</v>
      </c>
      <c r="S41" s="6"/>
      <c r="T41" s="6"/>
      <c r="U41" s="6"/>
      <c r="V41" s="44">
        <v>32287</v>
      </c>
      <c r="W41" s="44">
        <v>28947</v>
      </c>
      <c r="X41" s="37">
        <v>27961</v>
      </c>
      <c r="AD41" s="31" t="s">
        <v>164</v>
      </c>
      <c r="AE41" s="32">
        <v>4840</v>
      </c>
      <c r="AF41" s="32">
        <v>8448</v>
      </c>
      <c r="AG41" s="32">
        <v>14400</v>
      </c>
      <c r="AH41" s="33">
        <v>31968</v>
      </c>
      <c r="AI41" s="34"/>
      <c r="AJ41" s="31" t="s">
        <v>164</v>
      </c>
      <c r="AK41" s="32">
        <v>3050</v>
      </c>
      <c r="AL41" s="32">
        <v>6800</v>
      </c>
      <c r="AM41" s="32">
        <v>7800</v>
      </c>
      <c r="AN41" s="33">
        <v>12041</v>
      </c>
    </row>
    <row r="42" spans="1:40" x14ac:dyDescent="0.25">
      <c r="O42" s="45" t="s">
        <v>165</v>
      </c>
      <c r="P42" s="46" t="s">
        <v>166</v>
      </c>
      <c r="R42" s="43">
        <v>38</v>
      </c>
      <c r="S42" s="6"/>
      <c r="T42" s="6"/>
      <c r="U42" s="6"/>
      <c r="V42" s="44">
        <v>35187</v>
      </c>
      <c r="W42" s="44">
        <v>31358</v>
      </c>
      <c r="X42" s="37">
        <v>30168</v>
      </c>
      <c r="AD42" s="31" t="s">
        <v>167</v>
      </c>
      <c r="AE42" s="32">
        <v>4872</v>
      </c>
      <c r="AF42" s="32">
        <v>8448</v>
      </c>
      <c r="AG42" s="32">
        <v>14400</v>
      </c>
      <c r="AH42" s="33">
        <v>31968</v>
      </c>
      <c r="AI42" s="34"/>
      <c r="AJ42" s="31" t="s">
        <v>167</v>
      </c>
      <c r="AK42" s="32">
        <v>3100</v>
      </c>
      <c r="AL42" s="32">
        <v>6850</v>
      </c>
      <c r="AM42" s="32">
        <v>7850</v>
      </c>
      <c r="AN42" s="33">
        <v>12162</v>
      </c>
    </row>
    <row r="43" spans="1:40" ht="15.75" thickBot="1" x14ac:dyDescent="0.3">
      <c r="O43" s="45" t="s">
        <v>168</v>
      </c>
      <c r="P43" s="46" t="s">
        <v>169</v>
      </c>
      <c r="R43" s="43">
        <v>39</v>
      </c>
      <c r="S43" s="6"/>
      <c r="T43" s="6"/>
      <c r="U43" s="6"/>
      <c r="V43" s="48">
        <v>38347</v>
      </c>
      <c r="W43" s="44">
        <v>33970</v>
      </c>
      <c r="X43" s="37">
        <v>32551</v>
      </c>
      <c r="AD43" s="31" t="s">
        <v>170</v>
      </c>
      <c r="AE43" s="32">
        <v>4920</v>
      </c>
      <c r="AF43" s="32">
        <v>8576</v>
      </c>
      <c r="AG43" s="32">
        <v>14400</v>
      </c>
      <c r="AH43" s="33">
        <v>31968</v>
      </c>
      <c r="AI43" s="34"/>
      <c r="AJ43" s="31" t="s">
        <v>170</v>
      </c>
      <c r="AK43" s="32">
        <v>3150</v>
      </c>
      <c r="AL43" s="32">
        <v>6900</v>
      </c>
      <c r="AM43" s="32">
        <v>7900</v>
      </c>
      <c r="AN43" s="33">
        <v>12283</v>
      </c>
    </row>
    <row r="44" spans="1:40" ht="15.75" thickBot="1" x14ac:dyDescent="0.3">
      <c r="O44" s="45" t="s">
        <v>172</v>
      </c>
      <c r="P44" s="46" t="s">
        <v>173</v>
      </c>
      <c r="R44" s="43">
        <v>40</v>
      </c>
      <c r="S44" s="6"/>
      <c r="T44" s="6"/>
      <c r="U44" s="6"/>
      <c r="V44" s="56">
        <v>0</v>
      </c>
      <c r="W44" s="44">
        <v>36799</v>
      </c>
      <c r="X44" s="37">
        <v>35121</v>
      </c>
      <c r="AD44" s="31" t="s">
        <v>174</v>
      </c>
      <c r="AE44" s="32">
        <v>4928</v>
      </c>
      <c r="AF44" s="32">
        <v>8592</v>
      </c>
      <c r="AG44" s="32">
        <v>14400</v>
      </c>
      <c r="AH44" s="33">
        <v>31968</v>
      </c>
      <c r="AI44" s="34"/>
      <c r="AJ44" s="31" t="s">
        <v>174</v>
      </c>
      <c r="AK44" s="32">
        <v>3200</v>
      </c>
      <c r="AL44" s="32">
        <v>6950</v>
      </c>
      <c r="AM44" s="32">
        <v>7950</v>
      </c>
      <c r="AN44" s="33">
        <v>12406</v>
      </c>
    </row>
    <row r="45" spans="1:40" x14ac:dyDescent="0.25">
      <c r="O45" s="45" t="s">
        <v>175</v>
      </c>
      <c r="P45" s="46" t="s">
        <v>176</v>
      </c>
      <c r="R45" s="43">
        <v>41</v>
      </c>
      <c r="S45" s="6"/>
      <c r="T45" s="6"/>
      <c r="U45" s="6"/>
      <c r="V45" s="6"/>
      <c r="W45" s="44">
        <v>39864</v>
      </c>
      <c r="X45" s="37">
        <v>37894</v>
      </c>
      <c r="AD45" s="31" t="s">
        <v>177</v>
      </c>
      <c r="AE45" s="32">
        <v>4944</v>
      </c>
      <c r="AF45" s="32">
        <v>8640</v>
      </c>
      <c r="AG45" s="32">
        <v>14400</v>
      </c>
      <c r="AH45" s="33">
        <v>31968</v>
      </c>
      <c r="AI45" s="34"/>
      <c r="AJ45" s="31" t="s">
        <v>177</v>
      </c>
      <c r="AK45" s="32">
        <v>3250</v>
      </c>
      <c r="AL45" s="32">
        <v>7000</v>
      </c>
      <c r="AM45" s="32">
        <v>8000</v>
      </c>
      <c r="AN45" s="33">
        <v>12530</v>
      </c>
    </row>
    <row r="46" spans="1:40" x14ac:dyDescent="0.25">
      <c r="O46" s="59" t="s">
        <v>179</v>
      </c>
      <c r="P46" s="46" t="s">
        <v>180</v>
      </c>
      <c r="R46" s="43">
        <v>42</v>
      </c>
      <c r="S46" s="6"/>
      <c r="T46" s="6"/>
      <c r="U46" s="6"/>
      <c r="V46" s="6"/>
      <c r="W46" s="44">
        <v>43184</v>
      </c>
      <c r="X46" s="37">
        <v>40886</v>
      </c>
      <c r="AD46" s="31" t="s">
        <v>181</v>
      </c>
      <c r="AE46" s="32">
        <v>4576</v>
      </c>
      <c r="AF46" s="32">
        <v>7888</v>
      </c>
      <c r="AG46" s="32">
        <v>13200</v>
      </c>
      <c r="AH46" s="33">
        <v>31968</v>
      </c>
      <c r="AI46" s="34"/>
      <c r="AJ46" s="31" t="s">
        <v>181</v>
      </c>
      <c r="AK46" s="32">
        <v>3450</v>
      </c>
      <c r="AL46" s="32">
        <v>7200</v>
      </c>
      <c r="AM46" s="32">
        <v>8200</v>
      </c>
      <c r="AN46" s="33">
        <v>12655</v>
      </c>
    </row>
    <row r="47" spans="1:40" x14ac:dyDescent="0.25">
      <c r="O47" s="59" t="s">
        <v>182</v>
      </c>
      <c r="P47" s="46" t="s">
        <v>183</v>
      </c>
      <c r="R47" s="43">
        <v>43</v>
      </c>
      <c r="S47" s="6"/>
      <c r="T47" s="6"/>
      <c r="U47" s="6"/>
      <c r="V47" s="6"/>
      <c r="W47" s="44">
        <v>46780</v>
      </c>
      <c r="X47" s="37">
        <v>44115</v>
      </c>
      <c r="AD47" s="31" t="s">
        <v>184</v>
      </c>
      <c r="AE47" s="32">
        <v>4816</v>
      </c>
      <c r="AF47" s="32">
        <v>8784</v>
      </c>
      <c r="AG47" s="32">
        <v>14400</v>
      </c>
      <c r="AH47" s="33">
        <v>31968</v>
      </c>
      <c r="AI47" s="34"/>
      <c r="AJ47" s="31" t="s">
        <v>184</v>
      </c>
      <c r="AK47" s="32">
        <v>3450</v>
      </c>
      <c r="AL47" s="32">
        <v>7200</v>
      </c>
      <c r="AM47" s="32">
        <v>8200</v>
      </c>
      <c r="AN47" s="33">
        <v>12782</v>
      </c>
    </row>
    <row r="48" spans="1:40" x14ac:dyDescent="0.25">
      <c r="O48" s="59" t="s">
        <v>186</v>
      </c>
      <c r="P48" s="46" t="s">
        <v>187</v>
      </c>
      <c r="R48" s="43">
        <v>44</v>
      </c>
      <c r="S48" s="6"/>
      <c r="T48" s="6"/>
      <c r="U48" s="6"/>
      <c r="V48" s="6"/>
      <c r="W48" s="44">
        <v>50677</v>
      </c>
      <c r="X48" s="37">
        <v>47598</v>
      </c>
      <c r="AD48" s="31" t="s">
        <v>188</v>
      </c>
      <c r="AE48" s="32">
        <v>5368</v>
      </c>
      <c r="AF48" s="32">
        <v>8784</v>
      </c>
      <c r="AG48" s="32">
        <v>14400</v>
      </c>
      <c r="AH48" s="33">
        <v>31968</v>
      </c>
      <c r="AI48" s="34"/>
      <c r="AJ48" s="31" t="s">
        <v>188</v>
      </c>
      <c r="AK48" s="32">
        <v>3500</v>
      </c>
      <c r="AL48" s="32">
        <v>7250</v>
      </c>
      <c r="AM48" s="32">
        <v>8250</v>
      </c>
      <c r="AN48" s="33">
        <v>12910</v>
      </c>
    </row>
    <row r="49" spans="15:40" x14ac:dyDescent="0.25">
      <c r="O49" s="59" t="s">
        <v>189</v>
      </c>
      <c r="P49" s="46" t="s">
        <v>190</v>
      </c>
      <c r="R49" s="43">
        <v>45</v>
      </c>
      <c r="S49" s="6"/>
      <c r="T49" s="6"/>
      <c r="U49" s="6"/>
      <c r="V49" s="6"/>
      <c r="W49" s="44">
        <v>54897</v>
      </c>
      <c r="X49" s="37">
        <v>51357</v>
      </c>
      <c r="AD49" s="31" t="s">
        <v>191</v>
      </c>
      <c r="AE49" s="32">
        <v>5136</v>
      </c>
      <c r="AF49" s="32">
        <v>8784</v>
      </c>
      <c r="AG49" s="32">
        <v>14400</v>
      </c>
      <c r="AH49" s="33">
        <v>31968</v>
      </c>
      <c r="AI49" s="34"/>
      <c r="AJ49" s="31" t="s">
        <v>191</v>
      </c>
      <c r="AK49" s="32">
        <v>3550</v>
      </c>
      <c r="AL49" s="32">
        <v>7300</v>
      </c>
      <c r="AM49" s="32">
        <v>8300</v>
      </c>
      <c r="AN49" s="33">
        <v>13039</v>
      </c>
    </row>
    <row r="50" spans="15:40" x14ac:dyDescent="0.25">
      <c r="O50" s="59" t="s">
        <v>192</v>
      </c>
      <c r="P50" s="46" t="s">
        <v>193</v>
      </c>
      <c r="R50" s="43">
        <v>46</v>
      </c>
      <c r="S50" s="6"/>
      <c r="T50" s="6"/>
      <c r="U50" s="6"/>
      <c r="V50" s="6"/>
      <c r="W50" s="44">
        <v>59470</v>
      </c>
      <c r="X50" s="37">
        <v>55412</v>
      </c>
      <c r="AD50" s="31" t="s">
        <v>194</v>
      </c>
      <c r="AE50" s="32">
        <v>5160</v>
      </c>
      <c r="AF50" s="32">
        <v>8800</v>
      </c>
      <c r="AG50" s="32">
        <v>14400</v>
      </c>
      <c r="AH50" s="33">
        <v>31968</v>
      </c>
      <c r="AI50" s="34"/>
      <c r="AJ50" s="31" t="s">
        <v>194</v>
      </c>
      <c r="AK50" s="32">
        <v>3600</v>
      </c>
      <c r="AL50" s="32">
        <v>7350</v>
      </c>
      <c r="AM50" s="32">
        <v>8350</v>
      </c>
      <c r="AN50" s="33">
        <v>13169</v>
      </c>
    </row>
    <row r="51" spans="15:40" x14ac:dyDescent="0.25">
      <c r="O51" s="59" t="s">
        <v>195</v>
      </c>
      <c r="P51" s="46" t="s">
        <v>196</v>
      </c>
      <c r="R51" s="43">
        <v>47</v>
      </c>
      <c r="S51" s="6"/>
      <c r="T51" s="6"/>
      <c r="U51" s="6"/>
      <c r="V51" s="6"/>
      <c r="W51" s="44">
        <v>64423</v>
      </c>
      <c r="X51" s="37">
        <v>59787</v>
      </c>
      <c r="AD51" s="31" t="s">
        <v>197</v>
      </c>
      <c r="AE51" s="32">
        <v>5188</v>
      </c>
      <c r="AF51" s="32">
        <v>8824</v>
      </c>
      <c r="AG51" s="32">
        <v>14400</v>
      </c>
      <c r="AH51" s="33">
        <v>31968</v>
      </c>
      <c r="AI51" s="34"/>
      <c r="AJ51" s="31" t="s">
        <v>197</v>
      </c>
      <c r="AK51" s="32">
        <v>3650</v>
      </c>
      <c r="AL51" s="32">
        <v>7400</v>
      </c>
      <c r="AM51" s="32">
        <v>8400</v>
      </c>
      <c r="AN51" s="33">
        <v>13301</v>
      </c>
    </row>
    <row r="52" spans="15:40" x14ac:dyDescent="0.25">
      <c r="O52" s="59" t="s">
        <v>198</v>
      </c>
      <c r="P52" s="46" t="s">
        <v>199</v>
      </c>
      <c r="R52" s="43">
        <v>48</v>
      </c>
      <c r="S52" s="6"/>
      <c r="T52" s="6"/>
      <c r="U52" s="6"/>
      <c r="V52" s="6"/>
      <c r="W52" s="44">
        <v>69788</v>
      </c>
      <c r="X52" s="37">
        <v>64508</v>
      </c>
      <c r="AD52" s="31" t="s">
        <v>200</v>
      </c>
      <c r="AE52" s="32">
        <v>5232</v>
      </c>
      <c r="AF52" s="32">
        <v>8952</v>
      </c>
      <c r="AG52" s="32">
        <v>14400</v>
      </c>
      <c r="AH52" s="33">
        <v>31968</v>
      </c>
      <c r="AI52" s="34"/>
      <c r="AJ52" s="31" t="s">
        <v>200</v>
      </c>
      <c r="AK52" s="32">
        <v>3700</v>
      </c>
      <c r="AL52" s="32">
        <v>7450</v>
      </c>
      <c r="AM52" s="32">
        <v>8450</v>
      </c>
      <c r="AN52" s="33">
        <v>13434</v>
      </c>
    </row>
    <row r="53" spans="15:40" ht="15.75" thickBot="1" x14ac:dyDescent="0.3">
      <c r="O53" s="59" t="s">
        <v>201</v>
      </c>
      <c r="P53" s="46" t="s">
        <v>202</v>
      </c>
      <c r="R53" s="43">
        <v>49</v>
      </c>
      <c r="S53" s="6"/>
      <c r="T53" s="6"/>
      <c r="U53" s="6"/>
      <c r="V53" s="6"/>
      <c r="W53" s="48">
        <v>75601</v>
      </c>
      <c r="X53" s="37">
        <v>69602</v>
      </c>
      <c r="AD53" s="31" t="s">
        <v>203</v>
      </c>
      <c r="AE53" s="32">
        <v>5268</v>
      </c>
      <c r="AF53" s="32">
        <v>8928</v>
      </c>
      <c r="AG53" s="32">
        <v>14400</v>
      </c>
      <c r="AH53" s="33">
        <v>31968</v>
      </c>
      <c r="AI53" s="34"/>
      <c r="AJ53" s="31" t="s">
        <v>203</v>
      </c>
      <c r="AK53" s="32">
        <v>3900</v>
      </c>
      <c r="AL53" s="32">
        <v>7650</v>
      </c>
      <c r="AM53" s="32">
        <v>8650</v>
      </c>
      <c r="AN53" s="33">
        <v>13568</v>
      </c>
    </row>
    <row r="54" spans="15:40" ht="15.75" thickBot="1" x14ac:dyDescent="0.3">
      <c r="O54" s="59" t="s">
        <v>204</v>
      </c>
      <c r="P54" s="46" t="s">
        <v>205</v>
      </c>
      <c r="R54" s="43">
        <v>50</v>
      </c>
      <c r="S54" s="6"/>
      <c r="T54" s="6"/>
      <c r="U54" s="6"/>
      <c r="V54" s="6"/>
      <c r="W54" s="56">
        <v>0</v>
      </c>
      <c r="X54" s="37">
        <v>75098</v>
      </c>
      <c r="AD54" s="31" t="s">
        <v>206</v>
      </c>
      <c r="AE54" s="32">
        <v>5328</v>
      </c>
      <c r="AF54" s="32">
        <v>9144</v>
      </c>
      <c r="AG54" s="32">
        <v>14400</v>
      </c>
      <c r="AH54" s="33">
        <v>31968</v>
      </c>
      <c r="AI54" s="34"/>
      <c r="AJ54" s="31" t="s">
        <v>206</v>
      </c>
      <c r="AK54" s="32">
        <v>3900</v>
      </c>
      <c r="AL54" s="32">
        <v>7650</v>
      </c>
      <c r="AM54" s="32">
        <v>8650</v>
      </c>
      <c r="AN54" s="33">
        <v>13704</v>
      </c>
    </row>
    <row r="55" spans="15:40" x14ac:dyDescent="0.25">
      <c r="O55" s="59" t="s">
        <v>207</v>
      </c>
      <c r="P55" s="46" t="s">
        <v>208</v>
      </c>
      <c r="R55" s="43">
        <v>51</v>
      </c>
      <c r="S55" s="6"/>
      <c r="T55" s="6"/>
      <c r="U55" s="6"/>
      <c r="V55" s="6"/>
      <c r="W55" s="6"/>
      <c r="X55" s="37">
        <v>81028</v>
      </c>
      <c r="AD55" s="31" t="s">
        <v>209</v>
      </c>
      <c r="AE55" s="32">
        <v>5368</v>
      </c>
      <c r="AF55" s="32">
        <v>9144</v>
      </c>
      <c r="AG55" s="32">
        <v>14400</v>
      </c>
      <c r="AH55" s="33">
        <v>31968</v>
      </c>
      <c r="AI55" s="34"/>
      <c r="AJ55" s="31" t="s">
        <v>209</v>
      </c>
      <c r="AK55" s="32">
        <v>3950</v>
      </c>
      <c r="AL55" s="32">
        <v>7700</v>
      </c>
      <c r="AM55" s="32">
        <v>8700</v>
      </c>
      <c r="AN55" s="33">
        <v>13841</v>
      </c>
    </row>
    <row r="56" spans="15:40" x14ac:dyDescent="0.25">
      <c r="O56" s="59" t="s">
        <v>210</v>
      </c>
      <c r="P56" s="46" t="s">
        <v>41</v>
      </c>
      <c r="R56" s="43">
        <v>52</v>
      </c>
      <c r="S56" s="6"/>
      <c r="T56" s="6"/>
      <c r="U56" s="6"/>
      <c r="V56" s="6"/>
      <c r="W56" s="6"/>
      <c r="X56" s="37">
        <v>87426</v>
      </c>
      <c r="AD56" s="31" t="s">
        <v>211</v>
      </c>
      <c r="AE56" s="32">
        <v>5392</v>
      </c>
      <c r="AF56" s="32">
        <v>9144</v>
      </c>
      <c r="AG56" s="32">
        <v>14400</v>
      </c>
      <c r="AH56" s="33">
        <v>31968</v>
      </c>
      <c r="AI56" s="34"/>
      <c r="AJ56" s="31" t="s">
        <v>211</v>
      </c>
      <c r="AK56" s="32">
        <v>4000</v>
      </c>
      <c r="AL56" s="32">
        <v>7750</v>
      </c>
      <c r="AM56" s="32">
        <v>8750</v>
      </c>
      <c r="AN56" s="33">
        <v>13979</v>
      </c>
    </row>
    <row r="57" spans="15:40" x14ac:dyDescent="0.25">
      <c r="O57" s="59" t="s">
        <v>212</v>
      </c>
      <c r="P57" s="46" t="s">
        <v>44</v>
      </c>
      <c r="R57" s="43">
        <v>53</v>
      </c>
      <c r="S57" s="6"/>
      <c r="T57" s="6"/>
      <c r="U57" s="6"/>
      <c r="V57" s="6"/>
      <c r="W57" s="6"/>
      <c r="X57" s="37">
        <v>94329</v>
      </c>
      <c r="AD57" s="31" t="s">
        <v>213</v>
      </c>
      <c r="AE57" s="32">
        <v>5424</v>
      </c>
      <c r="AF57" s="32">
        <v>9142</v>
      </c>
      <c r="AG57" s="32">
        <v>14400</v>
      </c>
      <c r="AH57" s="33">
        <v>31968</v>
      </c>
      <c r="AI57" s="34"/>
      <c r="AJ57" s="31" t="s">
        <v>213</v>
      </c>
      <c r="AK57" s="32">
        <v>4050</v>
      </c>
      <c r="AL57" s="32">
        <v>7800</v>
      </c>
      <c r="AM57" s="32">
        <v>8800</v>
      </c>
      <c r="AN57" s="33">
        <v>14119</v>
      </c>
    </row>
    <row r="58" spans="15:40" x14ac:dyDescent="0.25">
      <c r="O58" s="59" t="s">
        <v>214</v>
      </c>
      <c r="P58" s="46" t="s">
        <v>47</v>
      </c>
      <c r="R58" s="43">
        <v>54</v>
      </c>
      <c r="S58" s="6"/>
      <c r="T58" s="6"/>
      <c r="U58" s="6"/>
      <c r="V58" s="6"/>
      <c r="W58" s="6"/>
      <c r="X58" s="37">
        <v>101778</v>
      </c>
      <c r="AD58" s="31" t="s">
        <v>215</v>
      </c>
      <c r="AE58" s="32">
        <v>5472</v>
      </c>
      <c r="AF58" s="32">
        <v>9232</v>
      </c>
      <c r="AG58" s="32">
        <v>14400</v>
      </c>
      <c r="AH58" s="33">
        <v>31968</v>
      </c>
      <c r="AI58" s="34"/>
      <c r="AJ58" s="31" t="s">
        <v>215</v>
      </c>
      <c r="AK58" s="32">
        <v>4100</v>
      </c>
      <c r="AL58" s="32">
        <v>7850</v>
      </c>
      <c r="AM58" s="32">
        <v>8850</v>
      </c>
      <c r="AN58" s="33">
        <v>14260</v>
      </c>
    </row>
    <row r="59" spans="15:40" x14ac:dyDescent="0.25">
      <c r="O59" s="59" t="s">
        <v>216</v>
      </c>
      <c r="P59" s="46" t="s">
        <v>50</v>
      </c>
      <c r="R59" s="43">
        <v>55</v>
      </c>
      <c r="S59" s="6"/>
      <c r="T59" s="6"/>
      <c r="U59" s="6"/>
      <c r="V59" s="6"/>
      <c r="W59" s="6"/>
      <c r="X59" s="37">
        <v>109815</v>
      </c>
      <c r="AD59" s="31" t="s">
        <v>217</v>
      </c>
      <c r="AE59" s="32">
        <v>5512</v>
      </c>
      <c r="AF59" s="32">
        <v>9304</v>
      </c>
      <c r="AG59" s="32">
        <v>14400</v>
      </c>
      <c r="AH59" s="33">
        <v>31968</v>
      </c>
      <c r="AI59" s="34"/>
      <c r="AJ59" s="31" t="s">
        <v>217</v>
      </c>
      <c r="AK59" s="32">
        <v>4150</v>
      </c>
      <c r="AL59" s="32">
        <v>7900</v>
      </c>
      <c r="AM59" s="32">
        <v>8900</v>
      </c>
      <c r="AN59" s="33">
        <v>14403</v>
      </c>
    </row>
    <row r="60" spans="15:40" x14ac:dyDescent="0.25">
      <c r="O60" s="59" t="s">
        <v>218</v>
      </c>
      <c r="P60" s="46" t="s">
        <v>53</v>
      </c>
      <c r="R60" s="43">
        <v>56</v>
      </c>
      <c r="S60" s="6"/>
      <c r="T60" s="6"/>
      <c r="U60" s="6"/>
      <c r="V60" s="6"/>
      <c r="W60" s="6"/>
      <c r="X60" s="37">
        <v>118486</v>
      </c>
      <c r="AD60" s="31" t="s">
        <v>219</v>
      </c>
      <c r="AE60" s="32">
        <v>5528</v>
      </c>
      <c r="AF60" s="32">
        <v>9330</v>
      </c>
      <c r="AG60" s="32">
        <v>14400</v>
      </c>
      <c r="AH60" s="33">
        <v>34632</v>
      </c>
      <c r="AI60" s="34"/>
      <c r="AJ60" s="31" t="s">
        <v>219</v>
      </c>
      <c r="AK60" s="32">
        <v>4350</v>
      </c>
      <c r="AL60" s="32">
        <v>8100</v>
      </c>
      <c r="AM60" s="32">
        <v>9100</v>
      </c>
      <c r="AN60" s="33">
        <v>14547</v>
      </c>
    </row>
    <row r="61" spans="15:40" x14ac:dyDescent="0.25">
      <c r="O61" s="59" t="s">
        <v>220</v>
      </c>
      <c r="P61" s="46" t="s">
        <v>56</v>
      </c>
      <c r="R61" s="43">
        <v>57</v>
      </c>
      <c r="S61" s="6"/>
      <c r="T61" s="6"/>
      <c r="U61" s="6"/>
      <c r="V61" s="6"/>
      <c r="W61" s="6"/>
      <c r="X61" s="37">
        <v>127842</v>
      </c>
      <c r="AD61" s="31" t="s">
        <v>221</v>
      </c>
      <c r="AE61" s="32">
        <v>6048</v>
      </c>
      <c r="AF61" s="32">
        <v>10208</v>
      </c>
      <c r="AG61" s="32">
        <v>15600</v>
      </c>
      <c r="AH61" s="33">
        <v>34633</v>
      </c>
      <c r="AI61" s="34"/>
      <c r="AJ61" s="31" t="s">
        <v>221</v>
      </c>
      <c r="AK61" s="32">
        <v>4350</v>
      </c>
      <c r="AL61" s="32">
        <v>8100</v>
      </c>
      <c r="AM61" s="32">
        <v>9100</v>
      </c>
      <c r="AN61" s="33" t="s">
        <v>222</v>
      </c>
    </row>
    <row r="62" spans="15:40" x14ac:dyDescent="0.25">
      <c r="O62" s="59" t="s">
        <v>223</v>
      </c>
      <c r="P62" s="46" t="s">
        <v>59</v>
      </c>
      <c r="R62" s="43">
        <v>58</v>
      </c>
      <c r="S62" s="6"/>
      <c r="T62" s="6"/>
      <c r="U62" s="6"/>
      <c r="V62" s="6"/>
      <c r="W62" s="6"/>
      <c r="X62" s="37">
        <v>137937</v>
      </c>
      <c r="AD62" s="31" t="s">
        <v>224</v>
      </c>
      <c r="AE62" s="32">
        <v>6080</v>
      </c>
      <c r="AF62" s="32">
        <v>10264</v>
      </c>
      <c r="AG62" s="32">
        <v>15600</v>
      </c>
      <c r="AH62" s="33">
        <v>34633</v>
      </c>
      <c r="AI62" s="34"/>
      <c r="AJ62" s="31" t="s">
        <v>224</v>
      </c>
      <c r="AK62" s="32">
        <v>4400</v>
      </c>
      <c r="AL62" s="32">
        <v>8150</v>
      </c>
      <c r="AM62" s="32">
        <v>9150</v>
      </c>
      <c r="AN62" s="33" t="s">
        <v>222</v>
      </c>
    </row>
    <row r="63" spans="15:40" ht="15.75" thickBot="1" x14ac:dyDescent="0.3">
      <c r="O63" s="59" t="s">
        <v>225</v>
      </c>
      <c r="P63" s="46" t="s">
        <v>63</v>
      </c>
      <c r="R63" s="60">
        <v>59</v>
      </c>
      <c r="S63" s="6"/>
      <c r="T63" s="6"/>
      <c r="U63" s="6"/>
      <c r="V63" s="6"/>
      <c r="W63" s="6"/>
      <c r="X63" s="49">
        <v>148828</v>
      </c>
      <c r="AD63" s="31" t="s">
        <v>226</v>
      </c>
      <c r="AE63" s="32">
        <v>6080</v>
      </c>
      <c r="AF63" s="32">
        <v>10264</v>
      </c>
      <c r="AG63" s="32">
        <v>15600</v>
      </c>
      <c r="AH63" s="33">
        <v>34633</v>
      </c>
      <c r="AI63" s="34"/>
      <c r="AJ63" s="31" t="s">
        <v>226</v>
      </c>
      <c r="AK63" s="32">
        <v>4450</v>
      </c>
      <c r="AL63" s="32">
        <v>8200</v>
      </c>
      <c r="AM63" s="32">
        <v>9200</v>
      </c>
      <c r="AN63" s="33" t="s">
        <v>222</v>
      </c>
    </row>
    <row r="64" spans="15:40" ht="15.75" thickBot="1" x14ac:dyDescent="0.3">
      <c r="O64" s="59" t="s">
        <v>227</v>
      </c>
      <c r="P64" s="46" t="s">
        <v>66</v>
      </c>
      <c r="R64" s="61">
        <v>60</v>
      </c>
      <c r="S64" s="62"/>
      <c r="T64" s="62"/>
      <c r="U64" s="62"/>
      <c r="V64" s="62"/>
      <c r="W64" s="62"/>
      <c r="X64" s="63">
        <v>0</v>
      </c>
      <c r="AD64" s="31" t="s">
        <v>228</v>
      </c>
      <c r="AE64" s="32">
        <v>6160</v>
      </c>
      <c r="AF64" s="32">
        <v>10320</v>
      </c>
      <c r="AG64" s="32">
        <v>15600</v>
      </c>
      <c r="AH64" s="33">
        <v>34633</v>
      </c>
      <c r="AI64" s="34"/>
      <c r="AJ64" s="31" t="s">
        <v>228</v>
      </c>
      <c r="AK64" s="32">
        <v>4500</v>
      </c>
      <c r="AL64" s="32">
        <v>8250</v>
      </c>
      <c r="AM64" s="32">
        <v>9250</v>
      </c>
      <c r="AN64" s="33" t="s">
        <v>222</v>
      </c>
    </row>
    <row r="65" spans="15:40" x14ac:dyDescent="0.25">
      <c r="O65" s="59" t="s">
        <v>229</v>
      </c>
      <c r="P65" s="46" t="s">
        <v>69</v>
      </c>
      <c r="AD65" s="31" t="s">
        <v>230</v>
      </c>
      <c r="AE65" s="32">
        <v>6200</v>
      </c>
      <c r="AF65" s="32">
        <v>10320</v>
      </c>
      <c r="AG65" s="32">
        <v>15600</v>
      </c>
      <c r="AH65" s="33">
        <v>34633</v>
      </c>
      <c r="AI65" s="34"/>
      <c r="AJ65" s="31" t="s">
        <v>230</v>
      </c>
      <c r="AK65" s="32">
        <v>4550</v>
      </c>
      <c r="AL65" s="32">
        <v>8300</v>
      </c>
      <c r="AM65" s="32">
        <v>9300</v>
      </c>
      <c r="AN65" s="33" t="s">
        <v>222</v>
      </c>
    </row>
    <row r="66" spans="15:40" x14ac:dyDescent="0.25">
      <c r="O66" s="59" t="s">
        <v>231</v>
      </c>
      <c r="P66" s="46" t="s">
        <v>72</v>
      </c>
      <c r="AD66" s="31" t="s">
        <v>232</v>
      </c>
      <c r="AE66" s="32">
        <v>6240</v>
      </c>
      <c r="AF66" s="32">
        <v>10320</v>
      </c>
      <c r="AG66" s="32">
        <v>15600</v>
      </c>
      <c r="AH66" s="33">
        <v>34633</v>
      </c>
      <c r="AI66" s="34"/>
      <c r="AJ66" s="31" t="s">
        <v>232</v>
      </c>
      <c r="AK66" s="32">
        <v>4600</v>
      </c>
      <c r="AL66" s="32">
        <v>8350</v>
      </c>
      <c r="AM66" s="32">
        <v>9350</v>
      </c>
      <c r="AN66" s="33" t="s">
        <v>222</v>
      </c>
    </row>
    <row r="67" spans="15:40" x14ac:dyDescent="0.25">
      <c r="O67" s="59" t="s">
        <v>233</v>
      </c>
      <c r="P67" s="46" t="s">
        <v>75</v>
      </c>
      <c r="AD67" s="31" t="s">
        <v>234</v>
      </c>
      <c r="AE67" s="32">
        <v>4392</v>
      </c>
      <c r="AF67" s="32">
        <v>7288</v>
      </c>
      <c r="AG67" s="32">
        <v>10800</v>
      </c>
      <c r="AH67" s="33" t="s">
        <v>222</v>
      </c>
      <c r="AI67" s="34"/>
      <c r="AJ67" s="31" t="s">
        <v>234</v>
      </c>
      <c r="AK67" s="32">
        <v>4800</v>
      </c>
      <c r="AL67" s="32">
        <v>8550</v>
      </c>
      <c r="AM67" s="32">
        <v>9550</v>
      </c>
      <c r="AN67" s="33" t="s">
        <v>222</v>
      </c>
    </row>
    <row r="68" spans="15:40" x14ac:dyDescent="0.25">
      <c r="O68" s="59" t="s">
        <v>235</v>
      </c>
      <c r="P68" s="46" t="s">
        <v>78</v>
      </c>
      <c r="AD68" s="31" t="s">
        <v>236</v>
      </c>
      <c r="AE68" s="32">
        <v>6392</v>
      </c>
      <c r="AF68" s="32">
        <v>10624</v>
      </c>
      <c r="AG68" s="32">
        <v>15704</v>
      </c>
      <c r="AH68" s="33">
        <v>34864</v>
      </c>
      <c r="AI68" s="34"/>
      <c r="AJ68" s="31" t="s">
        <v>236</v>
      </c>
      <c r="AK68" s="32">
        <v>4800</v>
      </c>
      <c r="AL68" s="32">
        <v>8550</v>
      </c>
      <c r="AM68" s="32">
        <v>9550</v>
      </c>
      <c r="AN68" s="33" t="s">
        <v>222</v>
      </c>
    </row>
    <row r="69" spans="15:40" x14ac:dyDescent="0.25">
      <c r="O69" s="59" t="s">
        <v>237</v>
      </c>
      <c r="P69" s="46" t="s">
        <v>81</v>
      </c>
      <c r="AD69" s="31" t="s">
        <v>238</v>
      </c>
      <c r="AE69" s="32">
        <v>6432</v>
      </c>
      <c r="AF69" s="32">
        <v>10696</v>
      </c>
      <c r="AG69" s="32">
        <v>15784</v>
      </c>
      <c r="AH69" s="33">
        <v>35041</v>
      </c>
      <c r="AI69" s="34"/>
      <c r="AJ69" s="31" t="s">
        <v>238</v>
      </c>
      <c r="AK69" s="32">
        <v>4850</v>
      </c>
      <c r="AL69" s="32">
        <v>8600</v>
      </c>
      <c r="AM69" s="32">
        <v>9600</v>
      </c>
      <c r="AN69" s="33" t="s">
        <v>222</v>
      </c>
    </row>
    <row r="70" spans="15:40" x14ac:dyDescent="0.25">
      <c r="O70" s="59" t="s">
        <v>239</v>
      </c>
      <c r="P70" s="46" t="s">
        <v>85</v>
      </c>
      <c r="AD70" s="31" t="s">
        <v>240</v>
      </c>
      <c r="AE70" s="32">
        <v>6432</v>
      </c>
      <c r="AF70" s="32">
        <v>10696</v>
      </c>
      <c r="AG70" s="32">
        <v>15784</v>
      </c>
      <c r="AH70" s="33">
        <v>35041</v>
      </c>
      <c r="AI70" s="34"/>
      <c r="AJ70" s="31" t="s">
        <v>240</v>
      </c>
      <c r="AK70" s="32">
        <v>4900</v>
      </c>
      <c r="AL70" s="32">
        <v>8650</v>
      </c>
      <c r="AM70" s="32">
        <v>9650</v>
      </c>
      <c r="AN70" s="33" t="s">
        <v>222</v>
      </c>
    </row>
    <row r="71" spans="15:40" x14ac:dyDescent="0.25">
      <c r="O71" s="59" t="s">
        <v>241</v>
      </c>
      <c r="P71" s="46" t="s">
        <v>89</v>
      </c>
      <c r="AD71" s="31" t="s">
        <v>242</v>
      </c>
      <c r="AE71" s="32">
        <v>6528</v>
      </c>
      <c r="AF71" s="32">
        <v>10768</v>
      </c>
      <c r="AG71" s="32">
        <v>15864</v>
      </c>
      <c r="AH71" s="33">
        <v>35219</v>
      </c>
      <c r="AI71" s="34"/>
      <c r="AJ71" s="31" t="s">
        <v>242</v>
      </c>
      <c r="AK71" s="32">
        <v>4950</v>
      </c>
      <c r="AL71" s="32">
        <v>8700</v>
      </c>
      <c r="AM71" s="32">
        <v>9700</v>
      </c>
      <c r="AN71" s="33" t="s">
        <v>222</v>
      </c>
    </row>
    <row r="72" spans="15:40" x14ac:dyDescent="0.25">
      <c r="O72" s="59" t="s">
        <v>243</v>
      </c>
      <c r="P72" s="46" t="s">
        <v>92</v>
      </c>
      <c r="AD72" s="31" t="s">
        <v>244</v>
      </c>
      <c r="AE72" s="32">
        <v>6568</v>
      </c>
      <c r="AF72" s="32">
        <v>10768</v>
      </c>
      <c r="AG72" s="32">
        <v>15864</v>
      </c>
      <c r="AH72" s="33">
        <v>35219</v>
      </c>
      <c r="AI72" s="34"/>
      <c r="AJ72" s="31" t="s">
        <v>244</v>
      </c>
      <c r="AK72" s="32">
        <v>5000</v>
      </c>
      <c r="AL72" s="32">
        <v>8750</v>
      </c>
      <c r="AM72" s="32">
        <v>9750</v>
      </c>
      <c r="AN72" s="33" t="s">
        <v>222</v>
      </c>
    </row>
    <row r="73" spans="15:40" x14ac:dyDescent="0.25">
      <c r="O73" s="59" t="s">
        <v>245</v>
      </c>
      <c r="P73" s="46" t="s">
        <v>96</v>
      </c>
      <c r="AD73" s="31" t="s">
        <v>246</v>
      </c>
      <c r="AE73" s="32">
        <v>6568</v>
      </c>
      <c r="AF73" s="32">
        <v>10768</v>
      </c>
      <c r="AG73" s="32">
        <v>15864</v>
      </c>
      <c r="AH73" s="33">
        <v>35219</v>
      </c>
      <c r="AI73" s="34"/>
      <c r="AJ73" s="31" t="s">
        <v>246</v>
      </c>
      <c r="AK73" s="32">
        <v>5050</v>
      </c>
      <c r="AL73" s="32">
        <v>8800</v>
      </c>
      <c r="AM73" s="32">
        <v>9800</v>
      </c>
      <c r="AN73" s="33" t="s">
        <v>222</v>
      </c>
    </row>
    <row r="74" spans="15:40" x14ac:dyDescent="0.25">
      <c r="O74" s="59" t="s">
        <v>247</v>
      </c>
      <c r="P74" s="46" t="s">
        <v>100</v>
      </c>
      <c r="AD74" s="31" t="s">
        <v>248</v>
      </c>
      <c r="AE74" s="32">
        <v>5720</v>
      </c>
      <c r="AF74" s="32">
        <v>9304</v>
      </c>
      <c r="AG74" s="32">
        <v>13664</v>
      </c>
      <c r="AH74" s="33" t="s">
        <v>222</v>
      </c>
      <c r="AI74" s="34"/>
      <c r="AJ74" s="31" t="s">
        <v>248</v>
      </c>
      <c r="AK74" s="32">
        <v>5250</v>
      </c>
      <c r="AL74" s="32">
        <v>9000</v>
      </c>
      <c r="AM74" s="32">
        <v>10000</v>
      </c>
      <c r="AN74" s="33" t="s">
        <v>222</v>
      </c>
    </row>
    <row r="75" spans="15:40" ht="15.75" thickBot="1" x14ac:dyDescent="0.3">
      <c r="O75" s="65" t="s">
        <v>249</v>
      </c>
      <c r="P75" s="46" t="s">
        <v>104</v>
      </c>
      <c r="AD75" s="31" t="s">
        <v>250</v>
      </c>
      <c r="AE75" s="32">
        <v>6808</v>
      </c>
      <c r="AF75" s="32">
        <v>11320</v>
      </c>
      <c r="AG75" s="32">
        <v>17120</v>
      </c>
      <c r="AH75" s="33">
        <v>38007</v>
      </c>
      <c r="AI75" s="34"/>
      <c r="AJ75" s="31" t="s">
        <v>250</v>
      </c>
      <c r="AK75" s="32">
        <v>4800</v>
      </c>
      <c r="AL75" s="32">
        <v>9000</v>
      </c>
      <c r="AM75" s="32">
        <v>10000</v>
      </c>
      <c r="AN75" s="33" t="s">
        <v>222</v>
      </c>
    </row>
    <row r="76" spans="15:40" x14ac:dyDescent="0.25">
      <c r="O76" s="66"/>
      <c r="P76" s="46" t="s">
        <v>108</v>
      </c>
      <c r="AD76" s="31" t="s">
        <v>251</v>
      </c>
      <c r="AE76" s="32">
        <v>6848</v>
      </c>
      <c r="AF76" s="32">
        <v>11392</v>
      </c>
      <c r="AG76" s="32">
        <v>17168</v>
      </c>
      <c r="AH76" s="33">
        <v>38114</v>
      </c>
      <c r="AI76" s="34"/>
      <c r="AJ76" s="31" t="s">
        <v>251</v>
      </c>
      <c r="AK76" s="32">
        <v>4850</v>
      </c>
      <c r="AL76" s="32">
        <v>9050</v>
      </c>
      <c r="AM76" s="32">
        <v>10050</v>
      </c>
      <c r="AN76" s="33" t="s">
        <v>222</v>
      </c>
    </row>
    <row r="77" spans="15:40" x14ac:dyDescent="0.25">
      <c r="O77" s="66"/>
      <c r="P77" s="46" t="s">
        <v>113</v>
      </c>
      <c r="AD77" s="31" t="s">
        <v>252</v>
      </c>
      <c r="AE77" s="32">
        <v>7092</v>
      </c>
      <c r="AF77" s="32">
        <v>11392</v>
      </c>
      <c r="AG77" s="32">
        <v>17168</v>
      </c>
      <c r="AH77" s="33">
        <v>38114</v>
      </c>
      <c r="AI77" s="34"/>
      <c r="AJ77" s="31" t="s">
        <v>252</v>
      </c>
      <c r="AK77" s="32">
        <v>4900</v>
      </c>
      <c r="AL77" s="32">
        <v>9100</v>
      </c>
      <c r="AM77" s="32">
        <v>10100</v>
      </c>
      <c r="AN77" s="33" t="s">
        <v>222</v>
      </c>
    </row>
    <row r="78" spans="15:40" x14ac:dyDescent="0.25">
      <c r="O78" s="66"/>
      <c r="P78" s="46" t="s">
        <v>118</v>
      </c>
      <c r="AD78" s="31" t="s">
        <v>253</v>
      </c>
      <c r="AE78" s="32">
        <v>6944</v>
      </c>
      <c r="AF78" s="32">
        <v>11556</v>
      </c>
      <c r="AG78" s="32">
        <v>17264</v>
      </c>
      <c r="AH78" s="33">
        <v>38327</v>
      </c>
      <c r="AI78" s="34"/>
      <c r="AJ78" s="31" t="s">
        <v>253</v>
      </c>
      <c r="AK78" s="32">
        <v>4950</v>
      </c>
      <c r="AL78" s="32">
        <v>9150</v>
      </c>
      <c r="AM78" s="32">
        <v>10150</v>
      </c>
      <c r="AN78" s="33" t="s">
        <v>222</v>
      </c>
    </row>
    <row r="79" spans="15:40" x14ac:dyDescent="0.25">
      <c r="O79" s="66"/>
      <c r="P79" s="46" t="s">
        <v>123</v>
      </c>
      <c r="AD79" s="31" t="s">
        <v>254</v>
      </c>
      <c r="AE79" s="32">
        <v>6984</v>
      </c>
      <c r="AF79" s="32">
        <v>11628</v>
      </c>
      <c r="AG79" s="32">
        <v>17304</v>
      </c>
      <c r="AH79" s="33">
        <v>38416</v>
      </c>
      <c r="AI79" s="34"/>
      <c r="AJ79" s="31" t="s">
        <v>254</v>
      </c>
      <c r="AK79" s="32">
        <v>5000</v>
      </c>
      <c r="AL79" s="32">
        <v>9200</v>
      </c>
      <c r="AM79" s="32">
        <v>10200</v>
      </c>
      <c r="AN79" s="33" t="s">
        <v>222</v>
      </c>
    </row>
    <row r="80" spans="15:40" x14ac:dyDescent="0.25">
      <c r="O80" s="66"/>
      <c r="P80" s="46" t="s">
        <v>126</v>
      </c>
      <c r="AD80" s="31" t="s">
        <v>255</v>
      </c>
      <c r="AE80" s="32">
        <v>7024</v>
      </c>
      <c r="AF80" s="32">
        <v>11700</v>
      </c>
      <c r="AG80" s="32">
        <v>17344</v>
      </c>
      <c r="AH80" s="33">
        <v>38505</v>
      </c>
      <c r="AI80" s="34"/>
      <c r="AJ80" s="31" t="s">
        <v>255</v>
      </c>
      <c r="AK80" s="32">
        <v>5050</v>
      </c>
      <c r="AL80" s="32">
        <v>9250</v>
      </c>
      <c r="AM80" s="32">
        <v>10250</v>
      </c>
      <c r="AN80" s="33" t="s">
        <v>222</v>
      </c>
    </row>
    <row r="81" spans="1:40" x14ac:dyDescent="0.25">
      <c r="O81" s="66"/>
      <c r="P81" s="46" t="s">
        <v>130</v>
      </c>
      <c r="AD81" s="31" t="s">
        <v>256</v>
      </c>
      <c r="AE81" s="32">
        <v>6072</v>
      </c>
      <c r="AF81" s="32">
        <v>10074</v>
      </c>
      <c r="AG81" s="32">
        <v>14520</v>
      </c>
      <c r="AH81" s="33" t="s">
        <v>222</v>
      </c>
      <c r="AI81" s="34"/>
      <c r="AJ81" s="31" t="s">
        <v>256</v>
      </c>
      <c r="AK81" s="32">
        <v>5250</v>
      </c>
      <c r="AL81" s="32">
        <v>9450</v>
      </c>
      <c r="AM81" s="32">
        <v>10450</v>
      </c>
      <c r="AN81" s="33" t="s">
        <v>222</v>
      </c>
    </row>
    <row r="82" spans="1:40" x14ac:dyDescent="0.25">
      <c r="O82" s="66"/>
      <c r="P82" s="46" t="s">
        <v>134</v>
      </c>
      <c r="AD82" s="31" t="s">
        <v>257</v>
      </c>
      <c r="AE82" s="32">
        <v>7080</v>
      </c>
      <c r="AF82" s="32">
        <v>11800</v>
      </c>
      <c r="AG82" s="32">
        <v>17168</v>
      </c>
      <c r="AH82" s="33">
        <v>38114</v>
      </c>
      <c r="AI82" s="34"/>
      <c r="AJ82" s="31" t="s">
        <v>257</v>
      </c>
      <c r="AK82" s="32">
        <v>5700</v>
      </c>
      <c r="AL82" s="32">
        <v>9450</v>
      </c>
      <c r="AM82" s="32">
        <v>10450</v>
      </c>
      <c r="AN82" s="33" t="s">
        <v>222</v>
      </c>
    </row>
    <row r="83" spans="1:40" x14ac:dyDescent="0.25">
      <c r="O83" s="66"/>
      <c r="P83" s="46" t="s">
        <v>138</v>
      </c>
      <c r="AD83" s="31" t="s">
        <v>258</v>
      </c>
      <c r="AE83" s="32">
        <v>7128</v>
      </c>
      <c r="AF83" s="32">
        <v>11800</v>
      </c>
      <c r="AG83" s="32">
        <v>17168</v>
      </c>
      <c r="AH83" s="33">
        <v>38114</v>
      </c>
      <c r="AI83" s="34"/>
      <c r="AJ83" s="31" t="s">
        <v>258</v>
      </c>
      <c r="AK83" s="32">
        <v>5750</v>
      </c>
      <c r="AL83" s="32">
        <v>9500</v>
      </c>
      <c r="AM83" s="32">
        <v>10500</v>
      </c>
      <c r="AN83" s="33" t="s">
        <v>222</v>
      </c>
    </row>
    <row r="84" spans="1:40" x14ac:dyDescent="0.25">
      <c r="O84" s="66"/>
      <c r="P84" s="46" t="s">
        <v>141</v>
      </c>
      <c r="AD84" s="31" t="s">
        <v>259</v>
      </c>
      <c r="AE84" s="32">
        <v>7128</v>
      </c>
      <c r="AF84" s="32">
        <v>11800</v>
      </c>
      <c r="AG84" s="32">
        <v>17304</v>
      </c>
      <c r="AH84" s="33">
        <v>38416</v>
      </c>
      <c r="AI84" s="34"/>
      <c r="AJ84" s="31" t="s">
        <v>259</v>
      </c>
      <c r="AK84" s="32">
        <v>5800</v>
      </c>
      <c r="AL84" s="32">
        <v>9550</v>
      </c>
      <c r="AM84" s="32">
        <v>10550</v>
      </c>
      <c r="AN84" s="33">
        <v>18741</v>
      </c>
    </row>
    <row r="85" spans="1:40" x14ac:dyDescent="0.25">
      <c r="O85" s="66"/>
      <c r="P85" s="46" t="s">
        <v>144</v>
      </c>
      <c r="AD85" s="31" t="s">
        <v>260</v>
      </c>
      <c r="AE85" s="32">
        <v>7240</v>
      </c>
      <c r="AF85" s="32">
        <v>11800</v>
      </c>
      <c r="AG85" s="32">
        <v>17432</v>
      </c>
      <c r="AH85" s="33">
        <v>38700</v>
      </c>
      <c r="AI85" s="34"/>
      <c r="AJ85" s="31" t="s">
        <v>260</v>
      </c>
      <c r="AK85" s="32">
        <v>5850</v>
      </c>
      <c r="AL85" s="32">
        <v>9600</v>
      </c>
      <c r="AM85" s="32">
        <v>10600</v>
      </c>
      <c r="AN85" s="33" t="s">
        <v>222</v>
      </c>
    </row>
    <row r="86" spans="1:40" x14ac:dyDescent="0.25">
      <c r="O86" s="66"/>
      <c r="P86" s="46" t="s">
        <v>147</v>
      </c>
      <c r="AD86" s="31" t="s">
        <v>261</v>
      </c>
      <c r="AE86" s="32">
        <v>7288</v>
      </c>
      <c r="AF86" s="32">
        <v>11800</v>
      </c>
      <c r="AG86" s="32">
        <v>17560</v>
      </c>
      <c r="AH86" s="33">
        <v>38984</v>
      </c>
      <c r="AI86" s="34"/>
      <c r="AJ86" s="31" t="s">
        <v>261</v>
      </c>
      <c r="AK86" s="32">
        <v>5900</v>
      </c>
      <c r="AL86" s="32">
        <v>9650</v>
      </c>
      <c r="AM86" s="32">
        <v>10650</v>
      </c>
      <c r="AN86" s="33" t="s">
        <v>222</v>
      </c>
    </row>
    <row r="87" spans="1:40" x14ac:dyDescent="0.25">
      <c r="A87"/>
      <c r="O87" s="66"/>
      <c r="P87" s="46" t="s">
        <v>150</v>
      </c>
      <c r="AD87" s="31" t="s">
        <v>262</v>
      </c>
      <c r="AE87" s="32">
        <v>7336</v>
      </c>
      <c r="AF87" s="32">
        <v>11800</v>
      </c>
      <c r="AG87" s="32">
        <v>17600</v>
      </c>
      <c r="AH87" s="33">
        <v>39072</v>
      </c>
      <c r="AI87" s="34"/>
      <c r="AJ87" s="31" t="s">
        <v>262</v>
      </c>
      <c r="AK87" s="32">
        <v>5950</v>
      </c>
      <c r="AL87" s="32">
        <v>9700</v>
      </c>
      <c r="AM87" s="32">
        <v>10700</v>
      </c>
      <c r="AN87" s="33">
        <v>19031</v>
      </c>
    </row>
    <row r="88" spans="1:40" ht="15.75" thickBot="1" x14ac:dyDescent="0.3">
      <c r="A88"/>
      <c r="O88" s="66"/>
      <c r="P88" s="46" t="s">
        <v>153</v>
      </c>
      <c r="AD88" s="67" t="s">
        <v>263</v>
      </c>
      <c r="AE88" s="68">
        <v>5190</v>
      </c>
      <c r="AF88" s="68">
        <v>8260</v>
      </c>
      <c r="AG88" s="68">
        <v>12240</v>
      </c>
      <c r="AH88" s="69" t="s">
        <v>222</v>
      </c>
      <c r="AI88" s="34"/>
      <c r="AJ88" s="67" t="s">
        <v>263</v>
      </c>
      <c r="AK88" s="68">
        <v>6150</v>
      </c>
      <c r="AL88" s="68">
        <v>9900</v>
      </c>
      <c r="AM88" s="68">
        <v>10900</v>
      </c>
      <c r="AN88" s="70" t="s">
        <v>222</v>
      </c>
    </row>
    <row r="89" spans="1:40" x14ac:dyDescent="0.25">
      <c r="A89"/>
      <c r="O89" s="66"/>
      <c r="P89" s="46" t="s">
        <v>156</v>
      </c>
    </row>
    <row r="90" spans="1:40" x14ac:dyDescent="0.25">
      <c r="A90"/>
      <c r="O90" s="66"/>
      <c r="P90" s="46" t="s">
        <v>159</v>
      </c>
    </row>
    <row r="91" spans="1:40" x14ac:dyDescent="0.25">
      <c r="A91"/>
      <c r="O91" s="66"/>
      <c r="P91" s="46" t="s">
        <v>162</v>
      </c>
    </row>
    <row r="92" spans="1:40" x14ac:dyDescent="0.25">
      <c r="A92"/>
      <c r="O92" s="66"/>
      <c r="P92" s="46" t="s">
        <v>165</v>
      </c>
    </row>
    <row r="93" spans="1:40" x14ac:dyDescent="0.25">
      <c r="A93"/>
      <c r="O93" s="66"/>
      <c r="P93" s="46" t="s">
        <v>168</v>
      </c>
    </row>
    <row r="94" spans="1:40" x14ac:dyDescent="0.25">
      <c r="A94"/>
      <c r="O94" s="66"/>
      <c r="P94" s="46" t="s">
        <v>172</v>
      </c>
    </row>
    <row r="95" spans="1:40" ht="15.75" thickBot="1" x14ac:dyDescent="0.3">
      <c r="A95"/>
      <c r="O95" s="66"/>
      <c r="P95" s="71" t="s">
        <v>175</v>
      </c>
    </row>
    <row r="96" spans="1:40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</sheetData>
  <mergeCells count="19">
    <mergeCell ref="F29:F34"/>
    <mergeCell ref="J29:J34"/>
    <mergeCell ref="F21:F26"/>
    <mergeCell ref="J21:J26"/>
    <mergeCell ref="E12:F12"/>
    <mergeCell ref="F13:F18"/>
    <mergeCell ref="J13:J18"/>
    <mergeCell ref="E20:F20"/>
    <mergeCell ref="R3:X3"/>
    <mergeCell ref="Z3:AB3"/>
    <mergeCell ref="AD3:AH3"/>
    <mergeCell ref="AP3:BH3"/>
    <mergeCell ref="E28:F28"/>
    <mergeCell ref="F5:F10"/>
    <mergeCell ref="J5:J10"/>
    <mergeCell ref="E4:F4"/>
    <mergeCell ref="AJ3:AN3"/>
    <mergeCell ref="E3:M3"/>
    <mergeCell ref="O3:P3"/>
  </mergeCells>
  <phoneticPr fontId="48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211</vt:i4>
      </vt:variant>
    </vt:vector>
  </HeadingPairs>
  <TitlesOfParts>
    <vt:vector size="213" baseType="lpstr">
      <vt:lpstr>Fragment Fusion</vt:lpstr>
      <vt:lpstr>Variables</vt:lpstr>
      <vt:lpstr>CF_Energy_perRun</vt:lpstr>
      <vt:lpstr>CF_Epic_Affinity1</vt:lpstr>
      <vt:lpstr>CF_Epic_Affinity2</vt:lpstr>
      <vt:lpstr>CF_Epic_Affinity3</vt:lpstr>
      <vt:lpstr>CF_Epic_Affinity4</vt:lpstr>
      <vt:lpstr>CF_Epic_Champion1</vt:lpstr>
      <vt:lpstr>CF_Epic_Champion2</vt:lpstr>
      <vt:lpstr>CF_Epic_Champion3</vt:lpstr>
      <vt:lpstr>CF_Epic_Champion4</vt:lpstr>
      <vt:lpstr>CF_Food</vt:lpstr>
      <vt:lpstr>CF_FullEnergy</vt:lpstr>
      <vt:lpstr>CF_Legendary_Affinity</vt:lpstr>
      <vt:lpstr>CF_Legendary_Champion</vt:lpstr>
      <vt:lpstr>CF_Legendary_Rarity</vt:lpstr>
      <vt:lpstr>CF_Lvl100BattlePass</vt:lpstr>
      <vt:lpstr>CF_Map</vt:lpstr>
      <vt:lpstr>CF_RaidPass</vt:lpstr>
      <vt:lpstr>CF_Rare_Affinity1</vt:lpstr>
      <vt:lpstr>CF_Rare_Affinity10</vt:lpstr>
      <vt:lpstr>CF_Rare_Affinity11</vt:lpstr>
      <vt:lpstr>CF_Rare_Affinity12</vt:lpstr>
      <vt:lpstr>CF_Rare_Affinity13</vt:lpstr>
      <vt:lpstr>CF_Rare_Affinity14</vt:lpstr>
      <vt:lpstr>CF_Rare_Affinity15</vt:lpstr>
      <vt:lpstr>CF_Rare_Affinity16</vt:lpstr>
      <vt:lpstr>CF_Rare_Affinity2</vt:lpstr>
      <vt:lpstr>CF_Rare_Affinity3</vt:lpstr>
      <vt:lpstr>CF_Rare_Affinity4</vt:lpstr>
      <vt:lpstr>CF_Rare_Affinity5</vt:lpstr>
      <vt:lpstr>CF_Rare_Affinity6</vt:lpstr>
      <vt:lpstr>CF_Rare_Affinity7</vt:lpstr>
      <vt:lpstr>CF_Rare_Affinity8</vt:lpstr>
      <vt:lpstr>CF_Rare_Affinity9</vt:lpstr>
      <vt:lpstr>CF_Rare_Champion1</vt:lpstr>
      <vt:lpstr>CF_Rare_Champion10</vt:lpstr>
      <vt:lpstr>CF_Rare_Champion11</vt:lpstr>
      <vt:lpstr>CF_Rare_Champion12</vt:lpstr>
      <vt:lpstr>CF_Rare_Champion13</vt:lpstr>
      <vt:lpstr>CF_Rare_Champion14</vt:lpstr>
      <vt:lpstr>CF_Rare_Champion15</vt:lpstr>
      <vt:lpstr>CF_Rare_Champion16</vt:lpstr>
      <vt:lpstr>CF_Rare_Champion2</vt:lpstr>
      <vt:lpstr>CF_Rare_Champion3</vt:lpstr>
      <vt:lpstr>CF_Rare_Champion4</vt:lpstr>
      <vt:lpstr>CF_Rare_Champion5</vt:lpstr>
      <vt:lpstr>CF_Rare_Champion6</vt:lpstr>
      <vt:lpstr>CF_Rare_Champion7</vt:lpstr>
      <vt:lpstr>CF_Rare_Champion8</vt:lpstr>
      <vt:lpstr>CF_Rare_Champion9</vt:lpstr>
      <vt:lpstr>CF_Runners</vt:lpstr>
      <vt:lpstr>CF_Stage</vt:lpstr>
      <vt:lpstr>CF_XP_Epic4</vt:lpstr>
      <vt:lpstr>CF_XP_Epic5</vt:lpstr>
      <vt:lpstr>CF_XP_Legend5</vt:lpstr>
      <vt:lpstr>CF_XP_Legend6</vt:lpstr>
      <vt:lpstr>CF_XP_perFood</vt:lpstr>
      <vt:lpstr>CF_XP_perRun</vt:lpstr>
      <vt:lpstr>CF_XP_Rare3</vt:lpstr>
      <vt:lpstr>CF_XP_Rare4</vt:lpstr>
      <vt:lpstr>CF_XPBoost</vt:lpstr>
      <vt:lpstr>Epic_Affinity_Greater</vt:lpstr>
      <vt:lpstr>Epic_Affinity_Lesser</vt:lpstr>
      <vt:lpstr>Epic_Affinity_Superior</vt:lpstr>
      <vt:lpstr>Epic_Arcane_Greater</vt:lpstr>
      <vt:lpstr>Epic_Arcane_Lesser</vt:lpstr>
      <vt:lpstr>Epic_Arcane_Superior</vt:lpstr>
      <vt:lpstr>FF_Affinity</vt:lpstr>
      <vt:lpstr>FF_Champion</vt:lpstr>
      <vt:lpstr>FF_Days</vt:lpstr>
      <vt:lpstr>FF_Do1</vt:lpstr>
      <vt:lpstr>FF_Do2</vt:lpstr>
      <vt:lpstr>FF_Do3</vt:lpstr>
      <vt:lpstr>FF_Do4</vt:lpstr>
      <vt:lpstr>FF_Event</vt:lpstr>
      <vt:lpstr>FF_Fragments_Tournament</vt:lpstr>
      <vt:lpstr>FF_Fragments1</vt:lpstr>
      <vt:lpstr>FF_Fragments2</vt:lpstr>
      <vt:lpstr>FF_Fragments3</vt:lpstr>
      <vt:lpstr>FF_Fragments4</vt:lpstr>
      <vt:lpstr>FF_Points1</vt:lpstr>
      <vt:lpstr>FF_Points2</vt:lpstr>
      <vt:lpstr>FF_Points3</vt:lpstr>
      <vt:lpstr>FF_Points4</vt:lpstr>
      <vt:lpstr>FF_Rarity</vt:lpstr>
      <vt:lpstr>FF_Schedule_Event</vt:lpstr>
      <vt:lpstr>FF_Start</vt:lpstr>
      <vt:lpstr>HF_Champion1</vt:lpstr>
      <vt:lpstr>HF_Champion2</vt:lpstr>
      <vt:lpstr>HF_Champion3</vt:lpstr>
      <vt:lpstr>HF_Champion4</vt:lpstr>
      <vt:lpstr>HF_Days</vt:lpstr>
      <vt:lpstr>HF_Do1</vt:lpstr>
      <vt:lpstr>HF_Do2</vt:lpstr>
      <vt:lpstr>HF_Do3</vt:lpstr>
      <vt:lpstr>HF_Do4</vt:lpstr>
      <vt:lpstr>HF_EC_Abbrev1</vt:lpstr>
      <vt:lpstr>HF_EC_Abbrev2</vt:lpstr>
      <vt:lpstr>HF_EC_Abbrev3</vt:lpstr>
      <vt:lpstr>HF_EC_Abbrev4</vt:lpstr>
      <vt:lpstr>HF_EC_Affinity1</vt:lpstr>
      <vt:lpstr>HF_EC_Affinity2</vt:lpstr>
      <vt:lpstr>HF_EC_Affinity3</vt:lpstr>
      <vt:lpstr>HF_EC_Affinity4</vt:lpstr>
      <vt:lpstr>HF_EC_Champion1</vt:lpstr>
      <vt:lpstr>HF_EC_Champion2</vt:lpstr>
      <vt:lpstr>HF_EC_Champion3</vt:lpstr>
      <vt:lpstr>HF_EC_Champion4</vt:lpstr>
      <vt:lpstr>HF_EC_Rarity1</vt:lpstr>
      <vt:lpstr>HF_EC_Rarity2</vt:lpstr>
      <vt:lpstr>HF_EC_Rarity3</vt:lpstr>
      <vt:lpstr>HF_EC_Rarity4</vt:lpstr>
      <vt:lpstr>HF_Energy_perRun</vt:lpstr>
      <vt:lpstr>HF_Epic_Affinity1</vt:lpstr>
      <vt:lpstr>HF_Epic_Affinity2</vt:lpstr>
      <vt:lpstr>HF_Epic_Affinity3</vt:lpstr>
      <vt:lpstr>HF_Epic_Affinity4</vt:lpstr>
      <vt:lpstr>HF_Epic_Champion1</vt:lpstr>
      <vt:lpstr>HF_Epic_Champion2</vt:lpstr>
      <vt:lpstr>HF_Epic_Champion3</vt:lpstr>
      <vt:lpstr>HF_Epic_Champion4</vt:lpstr>
      <vt:lpstr>HF_Event</vt:lpstr>
      <vt:lpstr>HF_Food</vt:lpstr>
      <vt:lpstr>HF_Fragments_Tournament</vt:lpstr>
      <vt:lpstr>HF_Fragments1</vt:lpstr>
      <vt:lpstr>HF_Fragments2</vt:lpstr>
      <vt:lpstr>HF_Fragments3</vt:lpstr>
      <vt:lpstr>HF_Fragments4</vt:lpstr>
      <vt:lpstr>HF_FullEnergy</vt:lpstr>
      <vt:lpstr>HF_Legendary_Affinity</vt:lpstr>
      <vt:lpstr>HF_Legendary_Champion</vt:lpstr>
      <vt:lpstr>HF_Legendary_Rarity</vt:lpstr>
      <vt:lpstr>HF_Lvl100BattlePass</vt:lpstr>
      <vt:lpstr>HF_Map</vt:lpstr>
      <vt:lpstr>HF_Points1</vt:lpstr>
      <vt:lpstr>HF_Points2</vt:lpstr>
      <vt:lpstr>HF_Points3</vt:lpstr>
      <vt:lpstr>HF_Points4</vt:lpstr>
      <vt:lpstr>HF_RaidPass</vt:lpstr>
      <vt:lpstr>HF_Runners</vt:lpstr>
      <vt:lpstr>HF_Schedule_All</vt:lpstr>
      <vt:lpstr>HF_Schedule_Event</vt:lpstr>
      <vt:lpstr>HF_Stage</vt:lpstr>
      <vt:lpstr>HF_Start</vt:lpstr>
      <vt:lpstr>HF_Tournament_Champion1</vt:lpstr>
      <vt:lpstr>HF_Tournament_Champion2</vt:lpstr>
      <vt:lpstr>HF_XP_Epic4</vt:lpstr>
      <vt:lpstr>HF_XP_Epic5</vt:lpstr>
      <vt:lpstr>HF_XP_Legend5</vt:lpstr>
      <vt:lpstr>HF_XP_Legend6</vt:lpstr>
      <vt:lpstr>HF_XP_perFood</vt:lpstr>
      <vt:lpstr>HF_XP_perRun</vt:lpstr>
      <vt:lpstr>HF_XPBoost</vt:lpstr>
      <vt:lpstr>Legend_Affinity_Greater</vt:lpstr>
      <vt:lpstr>Legend_Affinity_Lesser</vt:lpstr>
      <vt:lpstr>Legend_Affinity_Superior</vt:lpstr>
      <vt:lpstr>Legend_Arcane_Greater</vt:lpstr>
      <vt:lpstr>Legend_Arcane_Lesser</vt:lpstr>
      <vt:lpstr>Legend_Arcane_Superior</vt:lpstr>
      <vt:lpstr>Rare_Affinity_Greater</vt:lpstr>
      <vt:lpstr>Rare_Affinity_Lesser</vt:lpstr>
      <vt:lpstr>Rare_Affinity_Superior</vt:lpstr>
      <vt:lpstr>Rare_Arcane_Greater</vt:lpstr>
      <vt:lpstr>Rare_Arcane_Lesser</vt:lpstr>
      <vt:lpstr>Rare_Arcane_Superior</vt:lpstr>
      <vt:lpstr>Uncommon_Affinity_Greater</vt:lpstr>
      <vt:lpstr>Uncommon_Affinity_Lesser</vt:lpstr>
      <vt:lpstr>Uncommon_Affinity_Superior</vt:lpstr>
      <vt:lpstr>Uncommon_Arcane_Greater</vt:lpstr>
      <vt:lpstr>Uncommon_Arcane_Lesser</vt:lpstr>
      <vt:lpstr>Uncommon_Arcane_Superior</vt:lpstr>
      <vt:lpstr>V_CF_Ascension_Clear4</vt:lpstr>
      <vt:lpstr>V_CF_Ascension_Clear5</vt:lpstr>
      <vt:lpstr>V_CF_Dropdown_Epic</vt:lpstr>
      <vt:lpstr>V_CF_Dropdown_Rare</vt:lpstr>
      <vt:lpstr>V_DB_Ayumilove</vt:lpstr>
      <vt:lpstr>V_DB_Datamine</vt:lpstr>
      <vt:lpstr>V_DB_HellHadesTierList</vt:lpstr>
      <vt:lpstr>V_DB_MyChampions_Rebuild</vt:lpstr>
      <vt:lpstr>V_DB_RaidExtractor</vt:lpstr>
      <vt:lpstr>V_DB_Thumbnails</vt:lpstr>
      <vt:lpstr>V_Display_FormulaBar</vt:lpstr>
      <vt:lpstr>V_Display_Gridlines</vt:lpstr>
      <vt:lpstr>V_Display_Headings</vt:lpstr>
      <vt:lpstr>V_Display_Ribbon</vt:lpstr>
      <vt:lpstr>V_Display_WorkbookTabs</vt:lpstr>
      <vt:lpstr>V_Energy_Boss</vt:lpstr>
      <vt:lpstr>V_Energy_Map</vt:lpstr>
      <vt:lpstr>V_Energy_Regular</vt:lpstr>
      <vt:lpstr>V_Farming_Level</vt:lpstr>
      <vt:lpstr>V_Lvl10</vt:lpstr>
      <vt:lpstr>V_Lvl20</vt:lpstr>
      <vt:lpstr>V_Lvl30</vt:lpstr>
      <vt:lpstr>V_Lvl40</vt:lpstr>
      <vt:lpstr>V_Lvl50</vt:lpstr>
      <vt:lpstr>V_Lvl60</vt:lpstr>
      <vt:lpstr>V_ProgrammerMode</vt:lpstr>
      <vt:lpstr>V_Silver_Brutal</vt:lpstr>
      <vt:lpstr>V_Silver_Hard</vt:lpstr>
      <vt:lpstr>V_Silver_Nightmare</vt:lpstr>
      <vt:lpstr>V_Silver_Normal</vt:lpstr>
      <vt:lpstr>V_Thumbnails</vt:lpstr>
      <vt:lpstr>V_XP_1Star</vt:lpstr>
      <vt:lpstr>V_XP_2Star</vt:lpstr>
      <vt:lpstr>V_XP_3Star</vt:lpstr>
      <vt:lpstr>V_XP_4Star</vt:lpstr>
      <vt:lpstr>V_XP_5Star</vt:lpstr>
      <vt:lpstr>V_XP_6Star</vt:lpstr>
      <vt:lpstr>V_XP_Brutal</vt:lpstr>
      <vt:lpstr>V_XP_Hard</vt:lpstr>
      <vt:lpstr>V_XP_Nightmare</vt:lpstr>
      <vt:lpstr>V_XP_Normal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Monty</dc:creator>
  <cp:lastModifiedBy>Monty</cp:lastModifiedBy>
  <dcterms:created xsi:type="dcterms:W3CDTF">2021-04-08T04:03:51Z</dcterms:created>
  <dcterms:modified xsi:type="dcterms:W3CDTF">2021-05-05T04:10:27Z</dcterms:modified>
</cp:coreProperties>
</file>