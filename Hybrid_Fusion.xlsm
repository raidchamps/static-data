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d Shadow Legends\Chris Marabate's Website\Fusion Tracker\"/>
    </mc:Choice>
  </mc:AlternateContent>
  <xr:revisionPtr revIDLastSave="0" documentId="13_ncr:1_{C06C7D4B-4FAB-4158-8B70-6E35630D54C8}" xr6:coauthVersionLast="45" xr6:coauthVersionMax="45" xr10:uidLastSave="{00000000-0000-0000-0000-000000000000}"/>
  <bookViews>
    <workbookView showSheetTabs="0" xWindow="-120" yWindow="-120" windowWidth="20730" windowHeight="11160" tabRatio="580" xr2:uid="{00000000-000D-0000-FFFF-FFFF00000000}"/>
  </bookViews>
  <sheets>
    <sheet name="Hybrid Fusion" sheetId="5" r:id="rId1"/>
    <sheet name="Fragment Fusion" sheetId="4" state="veryHidden" r:id="rId2"/>
    <sheet name="Champion Fusion" sheetId="3" state="veryHidden" r:id="rId3"/>
    <sheet name="Variables" sheetId="2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Fusion'!$BH$104</definedName>
    <definedName name="CF_Legendary_Champion">'Champion Fusion'!$AU$103</definedName>
    <definedName name="CF_Legendary_Rarity">'Champion Fusion'!$BH$103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Fusion'!$D$4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action">'Fragment Fusion'!$B$4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Fusion'!$C$4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B47" i="4"/>
  <c r="C47" i="4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/>
  <c r="D51" i="4"/>
  <c r="B52" i="4"/>
  <c r="C52" i="4" s="1"/>
  <c r="D52" i="4" s="1"/>
  <c r="B53" i="4"/>
  <c r="C53" i="4"/>
  <c r="D53" i="4" s="1"/>
  <c r="B54" i="4"/>
  <c r="C54" i="4" s="1"/>
  <c r="D54" i="4" s="1"/>
  <c r="B55" i="4"/>
  <c r="C55" i="4" s="1"/>
  <c r="D55" i="4" s="1"/>
  <c r="F48" i="4"/>
  <c r="H48" i="4"/>
  <c r="F49" i="4"/>
  <c r="H49" i="4"/>
  <c r="F50" i="4"/>
  <c r="H50" i="4"/>
  <c r="F51" i="4"/>
  <c r="H51" i="4"/>
  <c r="F52" i="4"/>
  <c r="H52" i="4"/>
  <c r="F53" i="4"/>
  <c r="H53" i="4"/>
  <c r="F54" i="4"/>
  <c r="H54" i="4"/>
  <c r="F55" i="4"/>
  <c r="H55" i="4"/>
  <c r="K36" i="5" l="1"/>
  <c r="L35" i="5"/>
  <c r="E37" i="5"/>
  <c r="H47" i="4"/>
  <c r="F47" i="4"/>
  <c r="H46" i="4"/>
  <c r="F46" i="4"/>
  <c r="B46" i="4"/>
  <c r="C46" i="4" s="1"/>
  <c r="D46" i="4" s="1"/>
  <c r="H45" i="4"/>
  <c r="F45" i="4"/>
  <c r="B45" i="4"/>
  <c r="C45" i="4" s="1"/>
  <c r="D45" i="4" s="1"/>
  <c r="H44" i="4"/>
  <c r="F44" i="4"/>
  <c r="B44" i="4"/>
  <c r="C44" i="4" s="1"/>
  <c r="D44" i="4" s="1"/>
  <c r="H43" i="4"/>
  <c r="F43" i="4"/>
  <c r="B43" i="4"/>
  <c r="C43" i="4" s="1"/>
  <c r="D43" i="4" s="1"/>
  <c r="H42" i="4"/>
  <c r="F42" i="4"/>
  <c r="B42" i="4"/>
  <c r="C42" i="4" s="1"/>
  <c r="D42" i="4" s="1"/>
  <c r="H41" i="4"/>
  <c r="F41" i="4"/>
  <c r="B41" i="4"/>
  <c r="C41" i="4" s="1"/>
  <c r="D41" i="4" s="1"/>
  <c r="H40" i="4"/>
  <c r="F40" i="4"/>
  <c r="B40" i="4"/>
  <c r="C40" i="4" s="1"/>
  <c r="D40" i="4" s="1"/>
  <c r="H39" i="4"/>
  <c r="F39" i="4"/>
  <c r="B39" i="4"/>
  <c r="C39" i="4" s="1"/>
  <c r="D39" i="4" s="1"/>
  <c r="H38" i="4"/>
  <c r="F38" i="4"/>
  <c r="B38" i="4"/>
  <c r="C38" i="4" s="1"/>
  <c r="D38" i="4" s="1"/>
  <c r="H37" i="4"/>
  <c r="F37" i="4"/>
  <c r="B37" i="4"/>
  <c r="C37" i="4" s="1"/>
  <c r="D37" i="4" s="1"/>
  <c r="H36" i="4"/>
  <c r="F36" i="4"/>
  <c r="C36" i="4"/>
  <c r="D36" i="4" s="1"/>
  <c r="B36" i="4"/>
  <c r="H35" i="4"/>
  <c r="F35" i="4"/>
  <c r="B35" i="4"/>
  <c r="C35" i="4" s="1"/>
  <c r="D35" i="4" s="1"/>
  <c r="H34" i="4"/>
  <c r="F34" i="4"/>
  <c r="B34" i="4"/>
  <c r="C34" i="4" s="1"/>
  <c r="D34" i="4" s="1"/>
  <c r="H33" i="4"/>
  <c r="F33" i="4"/>
  <c r="B33" i="4"/>
  <c r="C33" i="4" s="1"/>
  <c r="K4" i="4"/>
  <c r="F4" i="4"/>
  <c r="U4" i="4" l="1"/>
  <c r="BF116" i="5"/>
  <c r="AZ112" i="5"/>
  <c r="AZ113" i="5" s="1" a="1"/>
  <c r="AZ113" i="5" s="1"/>
  <c r="AX119" i="5" s="1"/>
  <c r="M35" i="5"/>
  <c r="L36" i="5"/>
  <c r="D33" i="4"/>
  <c r="I31" i="4"/>
  <c r="AN39" i="3"/>
  <c r="AP39" i="3" s="1"/>
  <c r="AQ39" i="3" s="1"/>
  <c r="AM39" i="3"/>
  <c r="AL35" i="3"/>
  <c r="AM31" i="3"/>
  <c r="AM29" i="3"/>
  <c r="AL29" i="3"/>
  <c r="AI26" i="3"/>
  <c r="AI25" i="3"/>
  <c r="Z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K18" i="3"/>
  <c r="AI18" i="3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P17" i="3"/>
  <c r="AO39" i="3" s="1"/>
  <c r="AS39" i="3" s="1"/>
  <c r="AT39" i="3" s="1"/>
  <c r="AO17" i="3"/>
  <c r="AN17" i="3"/>
  <c r="AM17" i="3"/>
  <c r="AL39" i="3" s="1"/>
  <c r="AJ17" i="3"/>
  <c r="AI17" i="3"/>
  <c r="AL36" i="3" s="1"/>
  <c r="AG17" i="3"/>
  <c r="AN35" i="3" s="1"/>
  <c r="AP35" i="3" s="1"/>
  <c r="AQ35" i="3" s="1"/>
  <c r="AF17" i="3"/>
  <c r="AM35" i="3" s="1"/>
  <c r="AE17" i="3"/>
  <c r="AB17" i="3"/>
  <c r="AA17" i="3"/>
  <c r="AL32" i="3" s="1"/>
  <c r="Z17" i="3"/>
  <c r="AO31" i="3" s="1"/>
  <c r="AS31" i="3" s="1"/>
  <c r="AT31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S14" i="3"/>
  <c r="AQ14" i="3"/>
  <c r="AO14" i="3"/>
  <c r="AM14" i="3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P13" i="3"/>
  <c r="AO37" i="3" s="1"/>
  <c r="AS37" i="3" s="1"/>
  <c r="AT37" i="3" s="1"/>
  <c r="AO13" i="3"/>
  <c r="AN37" i="3" s="1"/>
  <c r="AP37" i="3" s="1"/>
  <c r="AQ37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Z13" i="3"/>
  <c r="AO29" i="3" s="1"/>
  <c r="AS29" i="3" s="1"/>
  <c r="AT29" i="3" s="1"/>
  <c r="Y13" i="3"/>
  <c r="AN29" i="3" s="1"/>
  <c r="AP29" i="3" s="1"/>
  <c r="AQ29" i="3" s="1"/>
  <c r="X13" i="3"/>
  <c r="W13" i="3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P10" i="3"/>
  <c r="O10" i="3"/>
  <c r="N10" i="3"/>
  <c r="M10" i="3"/>
  <c r="L10" i="3"/>
  <c r="K10" i="3" s="1"/>
  <c r="J10" i="3"/>
  <c r="I10" i="3"/>
  <c r="H10" i="3"/>
  <c r="G10" i="3"/>
  <c r="F10" i="3" s="1"/>
  <c r="E10" i="3"/>
  <c r="D10" i="3"/>
  <c r="C10" i="3"/>
  <c r="B10" i="3"/>
  <c r="A10" i="3"/>
  <c r="AL9" i="3"/>
  <c r="AK25" i="3" s="1"/>
  <c r="AK9" i="3"/>
  <c r="AI9" i="3"/>
  <c r="X25" i="3" s="1"/>
  <c r="X42" i="3" s="1"/>
  <c r="AA42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H8" i="3" s="1"/>
  <c r="AO24" i="3" s="1"/>
  <c r="AS24" i="3" s="1"/>
  <c r="AE8" i="3"/>
  <c r="AL24" i="3" s="1"/>
  <c r="AB8" i="3"/>
  <c r="AM23" i="3" s="1"/>
  <c r="AA8" i="3"/>
  <c r="AL23" i="3" s="1"/>
  <c r="Z8" i="3"/>
  <c r="AO22" i="3" s="1"/>
  <c r="Y8" i="3"/>
  <c r="AN22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M41" i="3" l="1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I30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M30" i="3"/>
  <c r="AD13" i="3"/>
  <c r="AO30" i="3" s="1"/>
  <c r="AS30" i="3" s="1"/>
  <c r="AT30" i="3" s="1"/>
  <c r="AC13" i="3"/>
  <c r="AN30" i="3" s="1"/>
  <c r="AP30" i="3" s="1"/>
  <c r="AQ30" i="3" s="1"/>
  <c r="AB35" i="3"/>
  <c r="AC35" i="3"/>
  <c r="W32" i="3"/>
  <c r="AR31" i="3"/>
  <c r="AU31" i="3"/>
  <c r="AU29" i="3"/>
  <c r="AR29" i="3"/>
  <c r="AR30" i="3"/>
  <c r="AU32" i="3"/>
  <c r="AK29" i="3"/>
  <c r="W29" i="3"/>
  <c r="AR43" i="3"/>
  <c r="AR32" i="3"/>
  <c r="AK39" i="3"/>
  <c r="AD35" i="3"/>
  <c r="AS22" i="3"/>
  <c r="AT22" i="3" s="1"/>
  <c r="AD39" i="3"/>
  <c r="AC39" i="3"/>
  <c r="AB39" i="3"/>
  <c r="AK33" i="3"/>
  <c r="W33" i="3"/>
  <c r="X34" i="3"/>
  <c r="AR37" i="3"/>
  <c r="AR39" i="3"/>
  <c r="AU38" i="3"/>
  <c r="AU37" i="3"/>
  <c r="AU39" i="3"/>
  <c r="AC9" i="3"/>
  <c r="AP22" i="3"/>
  <c r="AQ22" i="3" s="1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U35" i="3"/>
  <c r="AU33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C24" i="3"/>
  <c r="AB24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Y42" i="3"/>
  <c r="AK23" i="3"/>
  <c r="W23" i="3"/>
  <c r="AU44" i="3"/>
  <c r="AR41" i="3"/>
  <c r="AR44" i="3"/>
  <c r="AU43" i="3"/>
  <c r="AR42" i="3"/>
  <c r="AL8" i="3"/>
  <c r="AO25" i="3" s="1"/>
  <c r="AK8" i="3"/>
  <c r="AN25" i="3" s="1"/>
  <c r="X41" i="3"/>
  <c r="X43" i="3"/>
  <c r="AC43" i="3" s="1"/>
  <c r="X39" i="3"/>
  <c r="X38" i="3"/>
  <c r="Y25" i="3"/>
  <c r="Z42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Z24" i="3"/>
  <c r="AA25" i="3"/>
  <c r="AM32" i="3"/>
  <c r="AB43" i="3" l="1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Z22" i="3"/>
  <c r="AA22" i="3"/>
  <c r="Y22" i="3"/>
  <c r="X30" i="3"/>
  <c r="AB30" i="3" s="1"/>
  <c r="X32" i="3"/>
  <c r="AP25" i="3"/>
  <c r="AQ25" i="3" s="1"/>
  <c r="AD44" i="3"/>
  <c r="AC44" i="3"/>
  <c r="AB44" i="3"/>
  <c r="AC42" i="3"/>
  <c r="AB42" i="3"/>
  <c r="AD42" i="3"/>
  <c r="T25" i="3"/>
  <c r="S24" i="3"/>
  <c r="S25" i="3"/>
  <c r="R24" i="3"/>
  <c r="T23" i="3"/>
  <c r="AB22" i="3"/>
  <c r="R23" i="3"/>
  <c r="R22" i="3"/>
  <c r="T24" i="3"/>
  <c r="S23" i="3"/>
  <c r="T22" i="3"/>
  <c r="R25" i="3"/>
  <c r="S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C32" i="3"/>
  <c r="AD32" i="3"/>
  <c r="AB32" i="3"/>
  <c r="AA34" i="3"/>
  <c r="Z34" i="3"/>
  <c r="Y34" i="3"/>
  <c r="Z33" i="3"/>
  <c r="AA33" i="3"/>
  <c r="Y33" i="3"/>
  <c r="AA38" i="3"/>
  <c r="Y38" i="3"/>
  <c r="Z38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AA39" i="3"/>
  <c r="Z39" i="3"/>
  <c r="Y39" i="3"/>
  <c r="AB38" i="3"/>
  <c r="AD38" i="3"/>
  <c r="AC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D29" i="3"/>
  <c r="AC29" i="3"/>
  <c r="AB29" i="3"/>
  <c r="AR38" i="3"/>
  <c r="AB40" i="3" l="1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Y30" i="3"/>
  <c r="AA30" i="3"/>
  <c r="AU25" i="3"/>
  <c r="AA29" i="3"/>
  <c r="Z29" i="3"/>
  <c r="Y29" i="3"/>
  <c r="AR25" i="3"/>
  <c r="AA31" i="3"/>
  <c r="Z31" i="3"/>
  <c r="Y31" i="3"/>
  <c r="T26" i="3" l="1"/>
  <c r="S26" i="3"/>
  <c r="R26" i="3"/>
  <c r="P36" i="5"/>
  <c r="Q35" i="5"/>
  <c r="N22" i="3"/>
  <c r="O26" i="3" s="1"/>
  <c r="M31" i="4"/>
  <c r="L32" i="4"/>
  <c r="I22" i="3"/>
  <c r="R35" i="5" l="1"/>
  <c r="Q36" i="5"/>
  <c r="N23" i="3"/>
  <c r="L29" i="3" s="1"/>
  <c r="M32" i="4"/>
  <c r="N31" i="4"/>
  <c r="J26" i="3"/>
  <c r="I23" i="3"/>
  <c r="R36" i="5" l="1"/>
  <c r="S35" i="5"/>
  <c r="N24" i="3"/>
  <c r="O27" i="3" s="1"/>
  <c r="N32" i="4"/>
  <c r="O31" i="4"/>
  <c r="I24" i="3"/>
  <c r="J27" i="3" s="1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<sst xmlns="http://schemas.openxmlformats.org/spreadsheetml/2006/main" count="1214" uniqueCount="473">
  <si>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</si>
  <si>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</si>
  <si>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</si>
  <si>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</si>
  <si>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</si>
  <si>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</si>
  <si>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</si>
  <si>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</si>
  <si>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</si>
  <si>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</si>
  <si>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</si>
  <si>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</si>
  <si>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</si>
  <si>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</si>
  <si>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</si>
  <si>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</si>
  <si>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</si>
  <si>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</si>
  <si>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</si>
  <si>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</si>
  <si>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</si>
  <si>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</si>
  <si>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</si>
  <si>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</si>
  <si>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</si>
  <si>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</si>
  <si>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</si>
  <si>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</si>
  <si>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</si>
  <si>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</si>
  <si>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</si>
  <si>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</si>
  <si>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</si>
  <si>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</si>
  <si>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</si>
  <si>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</si>
  <si>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</si>
  <si>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</si>
  <si>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</si>
  <si>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</si>
  <si>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</si>
  <si>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</si>
  <si>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</si>
  <si>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</si>
  <si>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</si>
  <si>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</si>
  <si>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</si>
  <si>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</si>
  <si>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</si>
  <si>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</si>
  <si>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</si>
  <si>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</si>
  <si>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</si>
  <si>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</si>
  <si>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</si>
  <si>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</si>
  <si>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</si>
  <si>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</si>
  <si>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</si>
  <si>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</si>
  <si>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</si>
  <si>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</si>
  <si>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</si>
  <si>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</si>
  <si>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</si>
  <si>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</si>
  <si>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</si>
  <si>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</si>
  <si>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</si>
  <si>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</si>
  <si>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</si>
  <si>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</si>
  <si>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</si>
  <si>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</si>
  <si>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</si>
  <si>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</si>
  <si>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</si>
  <si>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</si>
  <si>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</si>
  <si>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</si>
  <si>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</si>
  <si>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</si>
  <si>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</si>
  <si>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</si>
  <si>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</si>
  <si>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</si>
  <si>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</si>
  <si>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</si>
  <si>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</si>
  <si>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</si>
  <si>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</si>
  <si>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</si>
  <si>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</si>
  <si>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</si>
  <si>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</si>
  <si>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</si>
  <si>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</si>
  <si>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</si>
  <si>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</si>
  <si>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</si>
  <si>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</si>
  <si>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</si>
  <si>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</si>
  <si>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</si>
  <si>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</si>
  <si>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</si>
  <si>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</si>
  <si>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</si>
  <si>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</si>
  <si>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</si>
  <si>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</si>
  <si>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</si>
  <si>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</si>
  <si>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</si>
  <si>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</si>
  <si>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</si>
  <si>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</si>
  <si>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</si>
  <si>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</si>
  <si>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</si>
  <si>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</si>
  <si>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</si>
  <si>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</si>
  <si>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</si>
  <si>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</si>
  <si>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</si>
  <si>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</si>
  <si>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</si>
  <si>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</si>
  <si>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</si>
  <si>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</si>
  <si>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</si>
  <si>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</si>
  <si>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</si>
  <si>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</si>
  <si>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</si>
  <si>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</si>
  <si>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</si>
  <si>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</si>
  <si>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</si>
  <si>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</si>
  <si>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</si>
  <si>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</si>
  <si>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</si>
  <si>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</si>
  <si>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</si>
  <si>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</si>
  <si>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</si>
  <si>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</si>
  <si>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</si>
  <si>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</si>
  <si>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</si>
  <si>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</si>
  <si>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</si>
  <si>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</si>
  <si>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</si>
  <si>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</si>
  <si>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</si>
  <si>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</si>
  <si>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</si>
  <si>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</si>
  <si>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</si>
  <si>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</si>
  <si>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</si>
  <si>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</si>
  <si>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</si>
  <si>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</si>
  <si>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</si>
  <si>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</si>
  <si>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</si>
  <si>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</si>
  <si>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</si>
  <si>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</si>
  <si>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</si>
  <si>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</si>
  <si>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</si>
  <si>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</si>
  <si>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</si>
  <si>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</si>
  <si>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</si>
  <si>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</si>
  <si>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</si>
  <si>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</si>
  <si>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</si>
  <si>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</si>
  <si>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</si>
  <si>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</si>
  <si>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</si>
  <si>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</si>
  <si>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</si>
  <si>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</si>
  <si>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</si>
  <si>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</si>
  <si>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</si>
  <si>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</si>
  <si>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</si>
  <si>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</si>
  <si>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</si>
  <si>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</si>
  <si>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</si>
  <si>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</si>
  <si>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</si>
  <si>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</si>
  <si>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</si>
  <si>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</si>
  <si>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</si>
  <si>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</si>
  <si>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</si>
  <si>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</si>
  <si>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</si>
  <si>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</si>
  <si>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</si>
  <si>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</si>
  <si>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</si>
  <si>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</si>
  <si>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</si>
  <si>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</si>
  <si>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</si>
  <si>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</si>
  <si>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</si>
  <si>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</si>
  <si>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</si>
  <si>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</si>
  <si>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</si>
  <si>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</si>
  <si>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</si>
  <si>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</si>
  <si>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</si>
  <si>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</si>
  <si>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</si>
  <si>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</si>
  <si>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</si>
  <si>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</si>
  <si>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</si>
  <si>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</si>
  <si>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</si>
  <si>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</si>
  <si>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</si>
  <si>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</si>
  <si>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</si>
  <si>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</si>
  <si>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</si>
  <si>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</si>
  <si>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</si>
  <si>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</si>
  <si>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</si>
  <si>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</si>
  <si>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</si>
  <si>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</si>
  <si>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</si>
  <si>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</si>
  <si>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</si>
  <si>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</si>
  <si>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</si>
  <si>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</si>
  <si>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</si>
  <si>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</si>
  <si>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</si>
  <si>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</si>
  <si>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</si>
  <si>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</si>
  <si>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</si>
  <si>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</si>
  <si>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</si>
  <si>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</si>
  <si>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</si>
  <si>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</si>
  <si>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</si>
  <si>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</si>
  <si>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Fusion_XP_Legend5</t>
  </si>
  <si>
    <t>Fusion_XP_Legend6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</si>
  <si>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</si>
  <si>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</si>
  <si>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</si>
  <si>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</si>
  <si>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</si>
  <si>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</si>
  <si>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</si>
  <si>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</si>
  <si>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</si>
  <si>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</si>
  <si>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</si>
  <si>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</si>
  <si>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</si>
  <si>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</si>
  <si>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</si>
  <si>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</si>
  <si>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</si>
  <si>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</si>
  <si>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</si>
  <si>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</si>
  <si>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</si>
  <si>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</si>
  <si>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</si>
  <si>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</si>
  <si>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</si>
  <si>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</si>
  <si>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</si>
  <si>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</si>
  <si>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</si>
  <si>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</si>
  <si>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</si>
  <si>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Fusion_Energy_perRun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</si>
  <si>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</si>
  <si>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</si>
  <si>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</si>
  <si>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</si>
  <si>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</si>
  <si>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</si>
  <si>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</si>
  <si>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</si>
  <si>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</si>
  <si>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</si>
  <si>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</si>
  <si>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</si>
  <si>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r>
      <t>XP Brews</t>
    </r>
    <r>
      <rPr>
        <sz val="11"/>
        <color theme="1"/>
        <rFont val="Calibri"/>
        <family val="2"/>
        <scheme val="minor"/>
      </rPr>
      <t xml:space="preserve"> (@17,500XP)</t>
    </r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</si>
  <si>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</si>
  <si>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</si>
  <si>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</si>
  <si>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</si>
  <si>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</si>
  <si>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</si>
  <si>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</si>
  <si>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</si>
  <si>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</si>
  <si>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</si>
  <si>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</si>
  <si>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</si>
  <si>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</si>
  <si>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t>Fusion_XP_perFood</t>
  </si>
  <si>
    <t>Fusion_XP_perRun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</si>
  <si>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</si>
  <si>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</si>
  <si>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</si>
  <si>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Yoshi the Drunkard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</si>
  <si>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</si>
  <si>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</si>
  <si>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</si>
  <si>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</si>
  <si>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</si>
  <si>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</si>
  <si>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</si>
  <si>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</si>
  <si>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</si>
  <si>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</si>
  <si>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</si>
  <si>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</si>
  <si>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</si>
  <si>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</si>
  <si>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</si>
  <si>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</si>
  <si>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Dungeon Divers I Event</t>
  </si>
  <si>
    <t>Yes</t>
  </si>
  <si>
    <t>Dragon Tournament</t>
  </si>
  <si>
    <t>- Italicised/grey are to be confirmed and are</t>
  </si>
  <si>
    <t>Classic Arena Takedown I Tournament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</si>
  <si>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</si>
  <si>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</si>
  <si>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</si>
  <si>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</si>
  <si>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</si>
  <si>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No</t>
  </si>
  <si>
    <t>data accordingly.</t>
  </si>
  <si>
    <t>Ice Golem Tournament</t>
  </si>
  <si>
    <t>Fire Knight Tournament</t>
  </si>
  <si>
    <t>- The Tournament Fragments column will automatically</t>
  </si>
  <si>
    <t>Dungeon Divers II Event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</si>
  <si>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</si>
  <si>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</si>
  <si>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</si>
  <si>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</si>
  <si>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Classic Arena Takedown II Tournament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</si>
  <si>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</si>
  <si>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</si>
  <si>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</si>
  <si>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</si>
  <si>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</si>
  <si>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</si>
  <si>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</si>
  <si>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</si>
  <si>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</si>
  <si>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</si>
  <si>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</si>
  <si>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</si>
  <si>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</si>
  <si>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</si>
  <si>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</si>
  <si>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</si>
  <si>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</si>
  <si>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</si>
  <si>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</si>
  <si>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</si>
  <si>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Faction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</si>
  <si>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</si>
  <si>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</si>
  <si>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</si>
  <si>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</si>
  <si>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</si>
  <si>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</si>
  <si>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</si>
  <si>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</si>
  <si>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</si>
  <si>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</si>
  <si>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</si>
  <si>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</si>
  <si>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</si>
  <si>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</si>
  <si>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</si>
  <si>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</si>
  <si>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</si>
  <si>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</si>
  <si>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</si>
  <si>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</si>
  <si>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</si>
  <si>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</si>
  <si>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</si>
  <si>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</si>
  <si>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</si>
  <si>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</si>
  <si>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</si>
  <si>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</si>
  <si>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</si>
  <si>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</si>
  <si>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</si>
  <si>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</si>
  <si>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</si>
  <si>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</si>
  <si>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</si>
  <si>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</si>
  <si>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</si>
  <si>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</si>
  <si>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</si>
  <si>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</si>
  <si>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</si>
  <si>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</si>
  <si>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</si>
  <si>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</si>
  <si>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</si>
  <si>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</si>
  <si>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</si>
  <si>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</si>
  <si>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</si>
  <si>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</si>
  <si>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</si>
  <si>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</si>
  <si>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</si>
  <si>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</si>
  <si>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</si>
  <si>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</si>
  <si>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</si>
  <si>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</si>
  <si>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</si>
  <si>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</si>
  <si>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</si>
  <si>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</si>
  <si>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</si>
  <si>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</si>
  <si>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</si>
  <si>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</si>
  <si>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</si>
  <si>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</si>
  <si>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</si>
  <si>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</si>
  <si>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</si>
  <si>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</si>
  <si>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</si>
  <si>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</si>
  <si>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</si>
  <si>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</si>
  <si>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</si>
  <si>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ffff</t>
  </si>
  <si>
    <t>force</t>
  </si>
  <si>
    <t>Underpriest Brogni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</si>
</sst>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rgb="FFD6F4D9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medium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0" tint="-0.34998626667073579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medium">
        <color theme="0" tint="-0.34998626667073579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medium">
        <color theme="0" tint="-0.34998626667073579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85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1" fillId="0" borderId="0" xfId="3" applyFont="1"/>
    <xf numFmtId="0" fontId="32" fillId="0" borderId="0" xfId="3" applyFont="1" applyAlignment="1" applyProtection="1">
      <alignment horizontal="center" vertical="center"/>
      <protection locked="0"/>
    </xf>
    <xf numFmtId="0" fontId="34" fillId="0" borderId="0" xfId="4" applyFont="1" applyFill="1" applyBorder="1" applyAlignment="1" applyProtection="1">
      <alignment horizontal="left" vertical="center"/>
    </xf>
    <xf numFmtId="0" fontId="37" fillId="0" borderId="36" xfId="3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8" fillId="0" borderId="0" xfId="3" applyFont="1" applyAlignment="1">
      <alignment horizontal="center" vertical="center"/>
    </xf>
    <xf numFmtId="0" fontId="39" fillId="0" borderId="0" xfId="4" applyFont="1" applyFill="1" applyBorder="1" applyAlignment="1" applyProtection="1">
      <alignment horizontal="left" vertical="center"/>
    </xf>
    <xf numFmtId="0" fontId="36" fillId="0" borderId="0" xfId="3" applyFont="1" applyAlignment="1">
      <alignment horizontal="center" vertical="center"/>
    </xf>
    <xf numFmtId="0" fontId="36" fillId="5" borderId="36" xfId="3" applyFont="1" applyFill="1" applyBorder="1" applyAlignment="1">
      <alignment horizontal="center" vertical="center"/>
    </xf>
    <xf numFmtId="0" fontId="36" fillId="0" borderId="0" xfId="3" applyFont="1"/>
    <xf numFmtId="0" fontId="40" fillId="5" borderId="36" xfId="3" applyFont="1" applyFill="1" applyBorder="1" applyAlignment="1">
      <alignment horizontal="left" vertical="center"/>
    </xf>
    <xf numFmtId="0" fontId="40" fillId="5" borderId="36" xfId="3" applyFont="1" applyFill="1" applyBorder="1" applyAlignment="1">
      <alignment horizontal="center" vertical="center"/>
    </xf>
    <xf numFmtId="0" fontId="40" fillId="5" borderId="38" xfId="3" applyFont="1" applyFill="1" applyBorder="1" applyAlignment="1">
      <alignment horizontal="center" vertical="center" wrapText="1"/>
    </xf>
    <xf numFmtId="0" fontId="31" fillId="0" borderId="0" xfId="3" quotePrefix="1" applyFont="1"/>
    <xf numFmtId="0" fontId="31" fillId="8" borderId="36" xfId="3" applyFont="1" applyFill="1" applyBorder="1" applyAlignment="1">
      <alignment vertical="center"/>
    </xf>
    <xf numFmtId="165" fontId="31" fillId="16" borderId="36" xfId="3" applyNumberFormat="1" applyFont="1" applyFill="1" applyBorder="1" applyAlignment="1">
      <alignment horizontal="center" vertical="center"/>
    </xf>
    <xf numFmtId="1" fontId="31" fillId="8" borderId="36" xfId="3" applyNumberFormat="1" applyFont="1" applyFill="1" applyBorder="1" applyAlignment="1">
      <alignment horizontal="center" vertical="center"/>
    </xf>
    <xf numFmtId="0" fontId="31" fillId="8" borderId="28" xfId="3" applyFont="1" applyFill="1" applyBorder="1" applyAlignment="1">
      <alignment horizontal="center" vertical="center"/>
    </xf>
    <xf numFmtId="164" fontId="31" fillId="8" borderId="28" xfId="5" applyNumberFormat="1" applyFont="1" applyFill="1" applyBorder="1" applyAlignment="1" applyProtection="1">
      <alignment horizontal="center" vertical="center"/>
    </xf>
    <xf numFmtId="0" fontId="31" fillId="8" borderId="28" xfId="3" applyFont="1" applyFill="1" applyBorder="1" applyAlignment="1">
      <alignment horizontal="center" vertical="center"/>
    </xf>
    <xf numFmtId="0" fontId="31" fillId="0" borderId="91" xfId="3" applyFont="1" applyBorder="1"/>
    <xf numFmtId="0" fontId="31" fillId="0" borderId="0" xfId="3" applyFont="1" applyAlignment="1">
      <alignment vertical="center" wrapText="1"/>
    </xf>
    <xf numFmtId="0" fontId="41" fillId="0" borderId="0" xfId="4" applyFont="1" applyFill="1" applyBorder="1" applyAlignment="1" applyProtection="1">
      <alignment horizontal="left" vertical="center"/>
    </xf>
    <xf numFmtId="166" fontId="43" fillId="0" borderId="92" xfId="3" applyNumberFormat="1" applyFont="1" applyBorder="1" applyAlignment="1">
      <alignment horizontal="center" shrinkToFit="1"/>
    </xf>
    <xf numFmtId="166" fontId="43" fillId="0" borderId="93" xfId="3" applyNumberFormat="1" applyFont="1" applyBorder="1" applyAlignment="1">
      <alignment horizontal="center" shrinkToFit="1"/>
    </xf>
    <xf numFmtId="166" fontId="43" fillId="0" borderId="94" xfId="3" applyNumberFormat="1" applyFont="1" applyBorder="1" applyAlignment="1">
      <alignment horizontal="center" shrinkToFit="1"/>
    </xf>
    <xf numFmtId="0" fontId="31" fillId="0" borderId="0" xfId="3" applyFont="1" applyAlignment="1">
      <alignment wrapText="1"/>
    </xf>
    <xf numFmtId="0" fontId="44" fillId="5" borderId="36" xfId="3" applyFont="1" applyFill="1" applyBorder="1" applyAlignment="1">
      <alignment horizontal="left" vertical="center"/>
    </xf>
    <xf numFmtId="0" fontId="44" fillId="5" borderId="36" xfId="3" applyFont="1" applyFill="1" applyBorder="1" applyAlignment="1">
      <alignment horizontal="center" vertical="center"/>
    </xf>
    <xf numFmtId="0" fontId="44" fillId="5" borderId="36" xfId="3" applyFont="1" applyFill="1" applyBorder="1" applyAlignment="1">
      <alignment horizontal="center" vertical="center" wrapText="1"/>
    </xf>
    <xf numFmtId="0" fontId="40" fillId="5" borderId="36" xfId="3" applyFont="1" applyFill="1" applyBorder="1" applyAlignment="1">
      <alignment horizontal="center" vertical="center" wrapText="1"/>
    </xf>
    <xf numFmtId="0" fontId="43" fillId="0" borderId="95" xfId="3" applyFont="1" applyBorder="1" applyAlignment="1">
      <alignment horizontal="center" vertical="center" shrinkToFit="1"/>
    </xf>
    <xf numFmtId="0" fontId="43" fillId="0" borderId="96" xfId="3" applyFont="1" applyBorder="1" applyAlignment="1">
      <alignment horizontal="center" vertical="center" shrinkToFit="1"/>
    </xf>
    <xf numFmtId="0" fontId="43" fillId="0" borderId="97" xfId="3" applyFont="1" applyBorder="1" applyAlignment="1">
      <alignment horizontal="center" vertical="center" shrinkToFit="1"/>
    </xf>
    <xf numFmtId="0" fontId="43" fillId="0" borderId="98" xfId="3" applyFont="1" applyBorder="1" applyAlignment="1">
      <alignment horizontal="center" vertical="center" shrinkToFit="1"/>
    </xf>
    <xf numFmtId="0" fontId="31" fillId="0" borderId="99" xfId="3" applyFont="1" applyBorder="1" applyAlignment="1">
      <alignment vertical="center" wrapText="1"/>
    </xf>
    <xf numFmtId="0" fontId="31" fillId="0" borderId="0" xfId="3" applyFont="1" applyAlignment="1">
      <alignment vertical="center"/>
    </xf>
    <xf numFmtId="0" fontId="45" fillId="0" borderId="36" xfId="3" applyFont="1" applyBorder="1" applyAlignment="1">
      <alignment vertical="center"/>
    </xf>
    <xf numFmtId="165" fontId="46" fillId="0" borderId="36" xfId="3" applyNumberFormat="1" applyFont="1" applyBorder="1" applyAlignment="1">
      <alignment horizontal="center" vertical="center"/>
    </xf>
    <xf numFmtId="164" fontId="31" fillId="8" borderId="36" xfId="5" applyNumberFormat="1" applyFont="1" applyFill="1" applyBorder="1" applyAlignment="1" applyProtection="1">
      <alignment vertical="center"/>
    </xf>
    <xf numFmtId="0" fontId="31" fillId="0" borderId="36" xfId="3" applyFont="1" applyBorder="1" applyAlignment="1">
      <alignment horizontal="center" vertical="center"/>
    </xf>
    <xf numFmtId="0" fontId="31" fillId="0" borderId="99" xfId="3" applyFont="1" applyBorder="1" applyAlignment="1">
      <alignment horizontal="left" vertical="center"/>
    </xf>
    <xf numFmtId="0" fontId="31" fillId="0" borderId="99" xfId="3" applyFont="1" applyBorder="1" applyAlignment="1">
      <alignment vertical="center"/>
    </xf>
    <xf numFmtId="9" fontId="31" fillId="0" borderId="99" xfId="3" applyNumberFormat="1" applyFont="1" applyBorder="1" applyAlignment="1">
      <alignment horizontal="left" vertical="center"/>
    </xf>
    <xf numFmtId="0" fontId="47" fillId="0" borderId="0" xfId="3" applyFont="1" applyAlignment="1">
      <alignment vertical="center"/>
    </xf>
    <xf numFmtId="0" fontId="31" fillId="0" borderId="100" xfId="3" applyFont="1" applyBorder="1" applyAlignment="1">
      <alignment horizontal="left" vertical="center"/>
    </xf>
    <xf numFmtId="0" fontId="47" fillId="0" borderId="0" xfId="3" applyFont="1" applyAlignment="1">
      <alignment horizontal="left" vertical="center"/>
    </xf>
    <xf numFmtId="0" fontId="47" fillId="0" borderId="0" xfId="3" applyFont="1"/>
    <xf numFmtId="0" fontId="47" fillId="0" borderId="0" xfId="3" applyFont="1" applyAlignment="1">
      <alignment vertical="center" wrapText="1"/>
    </xf>
    <xf numFmtId="0" fontId="3" fillId="0" borderId="0" xfId="0" applyFont="1" applyAlignment="1">
      <alignment horizontal="left"/>
    </xf>
    <xf numFmtId="0" fontId="40" fillId="5" borderId="28" xfId="3" applyFont="1" applyFill="1" applyBorder="1" applyAlignment="1">
      <alignment horizontal="left" vertical="center"/>
    </xf>
    <xf numFmtId="0" fontId="40" fillId="5" borderId="28" xfId="3" applyFont="1" applyFill="1" applyBorder="1" applyAlignment="1">
      <alignment horizontal="center" vertical="center"/>
    </xf>
    <xf numFmtId="0" fontId="40" fillId="0" borderId="0" xfId="3" applyFont="1" applyFill="1" applyBorder="1" applyAlignment="1">
      <alignment horizontal="center" vertical="center"/>
    </xf>
    <xf numFmtId="14" fontId="40" fillId="5" borderId="28" xfId="3" applyNumberFormat="1" applyFont="1" applyFill="1" applyBorder="1" applyAlignment="1">
      <alignment horizontal="center" vertical="center"/>
    </xf>
    <xf numFmtId="14" fontId="40" fillId="5" borderId="27" xfId="3" applyNumberFormat="1" applyFont="1" applyFill="1" applyBorder="1" applyAlignment="1">
      <alignment horizontal="center" vertical="center" wrapText="1"/>
    </xf>
    <xf numFmtId="14" fontId="40" fillId="0" borderId="0" xfId="3" applyNumberFormat="1" applyFont="1" applyFill="1" applyBorder="1" applyAlignment="1">
      <alignment horizontal="center" vertical="center"/>
    </xf>
    <xf numFmtId="14" fontId="40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40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8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5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5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8" fillId="0" borderId="0" xfId="3" applyFont="1" applyAlignment="1" applyProtection="1">
      <alignment horizontal="center" vertical="center"/>
    </xf>
    <xf numFmtId="0" fontId="40" fillId="5" borderId="36" xfId="3" applyFont="1" applyFill="1" applyBorder="1" applyAlignment="1" applyProtection="1">
      <alignment horizontal="left" vertical="center"/>
    </xf>
    <xf numFmtId="0" fontId="40" fillId="5" borderId="36" xfId="3" applyFont="1" applyFill="1" applyBorder="1" applyAlignment="1" applyProtection="1">
      <alignment horizontal="center" vertical="center"/>
    </xf>
    <xf numFmtId="0" fontId="40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3" fillId="0" borderId="0" xfId="3" applyNumberFormat="1" applyFont="1" applyBorder="1" applyAlignment="1" applyProtection="1">
      <alignment horizontal="center" shrinkToFit="1"/>
    </xf>
    <xf numFmtId="0" fontId="43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101" xfId="3" applyFont="1" applyBorder="1" applyAlignment="1" applyProtection="1">
      <alignment horizontal="left" vertical="center"/>
    </xf>
    <xf numFmtId="0" fontId="31" fillId="0" borderId="101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7" fillId="0" borderId="0" xfId="3" applyFont="1" applyBorder="1" applyAlignment="1" applyProtection="1">
      <alignment vertical="center"/>
    </xf>
    <xf numFmtId="0" fontId="47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7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7" fillId="0" borderId="0" xfId="3" applyFont="1" applyAlignment="1" applyProtection="1">
      <alignment vertical="center" wrapText="1"/>
    </xf>
    <xf numFmtId="0" fontId="47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7" borderId="28" xfId="3" applyFont="1" applyFill="1" applyBorder="1" applyAlignment="1" applyProtection="1">
      <alignment horizontal="center" vertical="center"/>
      <protection locked="0"/>
    </xf>
    <xf numFmtId="0" fontId="44" fillId="5" borderId="36" xfId="3" applyFont="1" applyFill="1" applyBorder="1" applyAlignment="1" applyProtection="1">
      <alignment horizontal="center" vertical="center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11" fillId="18" borderId="57" xfId="0" applyFont="1" applyFill="1" applyBorder="1" applyAlignment="1" applyProtection="1">
      <alignment horizontal="center" vertical="center"/>
      <protection locked="0"/>
    </xf>
    <xf numFmtId="0" fontId="11" fillId="18" borderId="58" xfId="0" applyFont="1" applyFill="1" applyBorder="1" applyAlignment="1" applyProtection="1">
      <alignment horizontal="center" vertical="center"/>
      <protection locked="0"/>
    </xf>
    <xf numFmtId="0" fontId="11" fillId="1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104" xfId="0" applyFont="1" applyFill="1" applyBorder="1" applyAlignment="1" applyProtection="1">
      <alignment horizontal="center" vertical="center"/>
    </xf>
    <xf numFmtId="0" fontId="2" fillId="7" borderId="105" xfId="0" applyFont="1" applyFill="1" applyBorder="1" applyAlignment="1" applyProtection="1">
      <alignment horizontal="center" vertical="center"/>
    </xf>
    <xf numFmtId="0" fontId="0" fillId="0" borderId="102" xfId="0" applyBorder="1" applyAlignment="1" applyProtection="1">
      <alignment horizontal="center" vertical="center"/>
    </xf>
    <xf numFmtId="0" fontId="0" fillId="0" borderId="103" xfId="0" applyBorder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 wrapText="1"/>
    </xf>
    <xf numFmtId="0" fontId="8" fillId="18" borderId="4" xfId="0" applyFont="1" applyFill="1" applyBorder="1" applyAlignment="1" applyProtection="1">
      <alignment horizontal="center" vertical="center"/>
    </xf>
    <xf numFmtId="0" fontId="8" fillId="18" borderId="5" xfId="0" applyFont="1" applyFill="1" applyBorder="1" applyAlignment="1" applyProtection="1">
      <alignment horizontal="center" vertical="center"/>
    </xf>
    <xf numFmtId="0" fontId="8" fillId="18" borderId="16" xfId="0" applyFont="1" applyFill="1" applyBorder="1" applyAlignment="1" applyProtection="1">
      <alignment horizontal="center" vertical="center"/>
    </xf>
    <xf numFmtId="0" fontId="8" fillId="18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 vertical="top" wrapText="1"/>
    </xf>
    <xf numFmtId="0" fontId="50" fillId="0" borderId="30" xfId="0" applyFont="1" applyBorder="1" applyAlignment="1" applyProtection="1">
      <alignment horizontal="center" vertical="top" wrapText="1"/>
    </xf>
    <xf numFmtId="9" fontId="46" fillId="0" borderId="36" xfId="6" applyFont="1" applyFill="1" applyBorder="1" applyAlignment="1" applyProtection="1">
      <alignment horizontal="center" vertical="center"/>
    </xf>
    <xf numFmtId="0" fontId="44" fillId="5" borderId="36" xfId="3" applyFont="1" applyFill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0" fontId="44" fillId="5" borderId="36" xfId="3" applyFont="1" applyFill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17" borderId="38" xfId="3" applyFont="1" applyFill="1" applyBorder="1" applyAlignment="1" applyProtection="1">
      <alignment horizontal="center" vertical="center"/>
      <protection locked="0"/>
    </xf>
    <xf numFmtId="0" fontId="31" fillId="17" borderId="40" xfId="3" applyFont="1" applyFill="1" applyBorder="1" applyAlignment="1" applyProtection="1">
      <alignment horizontal="center" vertical="center"/>
      <protection locked="0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4" fillId="0" borderId="91" xfId="3" applyFont="1" applyBorder="1" applyAlignment="1" applyProtection="1">
      <alignment horizontal="center" vertical="center"/>
    </xf>
    <xf numFmtId="0" fontId="54" fillId="0" borderId="30" xfId="3" applyFont="1" applyBorder="1" applyAlignment="1" applyProtection="1">
      <alignment horizontal="center" vertical="center"/>
    </xf>
    <xf numFmtId="0" fontId="40" fillId="5" borderId="38" xfId="3" applyFont="1" applyFill="1" applyBorder="1" applyAlignment="1" applyProtection="1">
      <alignment horizontal="center" vertical="center"/>
    </xf>
    <xf numFmtId="0" fontId="40" fillId="5" borderId="80" xfId="3" applyFont="1" applyFill="1" applyBorder="1" applyAlignment="1" applyProtection="1">
      <alignment horizontal="center" vertical="center"/>
    </xf>
    <xf numFmtId="0" fontId="40" fillId="5" borderId="40" xfId="3" applyFont="1" applyFill="1" applyBorder="1" applyAlignment="1" applyProtection="1">
      <alignment horizontal="center" vertical="center"/>
    </xf>
    <xf numFmtId="0" fontId="40" fillId="5" borderId="36" xfId="3" applyFont="1" applyFill="1" applyBorder="1" applyAlignment="1" applyProtection="1">
      <alignment horizontal="center" vertical="center"/>
    </xf>
    <xf numFmtId="0" fontId="30" fillId="2" borderId="0" xfId="3" applyFont="1" applyFill="1" applyAlignment="1" applyProtection="1">
      <alignment horizontal="center" vertical="center"/>
    </xf>
    <xf numFmtId="0" fontId="51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164" fontId="31" fillId="8" borderId="38" xfId="5" applyNumberFormat="1" applyFont="1" applyFill="1" applyBorder="1" applyAlignment="1">
      <alignment horizontal="center" vertical="center"/>
    </xf>
    <xf numFmtId="164" fontId="31" fillId="8" borderId="80" xfId="5" applyNumberFormat="1" applyFont="1" applyFill="1" applyBorder="1" applyAlignment="1">
      <alignment horizontal="center" vertical="center"/>
    </xf>
    <xf numFmtId="164" fontId="31" fillId="8" borderId="40" xfId="5" applyNumberFormat="1" applyFont="1" applyFill="1" applyBorder="1" applyAlignment="1">
      <alignment horizontal="center" vertical="center"/>
    </xf>
    <xf numFmtId="0" fontId="31" fillId="8" borderId="38" xfId="3" applyFont="1" applyFill="1" applyBorder="1" applyAlignment="1">
      <alignment horizontal="center" vertical="center"/>
    </xf>
    <xf numFmtId="0" fontId="31" fillId="8" borderId="40" xfId="3" applyFont="1" applyFill="1" applyBorder="1" applyAlignment="1">
      <alignment horizontal="center" vertical="center"/>
    </xf>
    <xf numFmtId="0" fontId="42" fillId="2" borderId="0" xfId="3" applyFont="1" applyFill="1" applyAlignment="1">
      <alignment horizontal="center" vertical="center"/>
    </xf>
    <xf numFmtId="0" fontId="44" fillId="5" borderId="36" xfId="3" applyFont="1" applyFill="1" applyBorder="1" applyAlignment="1">
      <alignment horizontal="center" vertical="center" wrapText="1"/>
    </xf>
    <xf numFmtId="0" fontId="31" fillId="8" borderId="80" xfId="3" applyFont="1" applyFill="1" applyBorder="1" applyAlignment="1">
      <alignment horizontal="center" vertical="center"/>
    </xf>
    <xf numFmtId="0" fontId="30" fillId="2" borderId="0" xfId="3" applyFont="1" applyFill="1" applyAlignment="1" applyProtection="1">
      <alignment horizontal="center" vertical="center"/>
      <protection locked="0"/>
    </xf>
    <xf numFmtId="0" fontId="35" fillId="0" borderId="36" xfId="3" applyFont="1" applyBorder="1" applyAlignment="1">
      <alignment horizontal="center" vertical="center"/>
    </xf>
    <xf numFmtId="0" fontId="36" fillId="15" borderId="4" xfId="3" applyFont="1" applyFill="1" applyBorder="1" applyAlignment="1">
      <alignment horizontal="center" vertical="center"/>
    </xf>
    <xf numFmtId="0" fontId="36" fillId="15" borderId="5" xfId="3" applyFont="1" applyFill="1" applyBorder="1" applyAlignment="1">
      <alignment horizontal="center" vertical="center"/>
    </xf>
    <xf numFmtId="0" fontId="36" fillId="15" borderId="6" xfId="3" applyFont="1" applyFill="1" applyBorder="1" applyAlignment="1">
      <alignment horizontal="center" vertical="center"/>
    </xf>
    <xf numFmtId="0" fontId="35" fillId="0" borderId="16" xfId="3" applyFont="1" applyBorder="1" applyAlignment="1">
      <alignment horizontal="center" vertical="center"/>
    </xf>
    <xf numFmtId="0" fontId="35" fillId="0" borderId="17" xfId="3" applyFont="1" applyBorder="1" applyAlignment="1">
      <alignment horizontal="center" vertical="center"/>
    </xf>
    <xf numFmtId="0" fontId="35" fillId="0" borderId="18" xfId="3" applyFont="1" applyBorder="1" applyAlignment="1">
      <alignment horizontal="center" vertical="center"/>
    </xf>
    <xf numFmtId="0" fontId="36" fillId="15" borderId="36" xfId="3" applyFont="1" applyFill="1" applyBorder="1" applyAlignment="1">
      <alignment horizontal="center" vertical="center"/>
    </xf>
    <xf numFmtId="0" fontId="40" fillId="5" borderId="36" xfId="3" applyFont="1" applyFill="1" applyBorder="1" applyAlignment="1">
      <alignment horizontal="center" vertical="center"/>
    </xf>
    <xf numFmtId="164" fontId="31" fillId="8" borderId="28" xfId="5" applyNumberFormat="1" applyFont="1" applyFill="1" applyBorder="1" applyAlignment="1">
      <alignment horizontal="center" vertical="center"/>
    </xf>
    <xf numFmtId="0" fontId="31" fillId="8" borderId="28" xfId="3" applyFont="1" applyFill="1" applyBorder="1" applyAlignment="1">
      <alignment horizontal="center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13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42" fillId="2" borderId="36" xfId="3" applyFont="1" applyFill="1" applyBorder="1" applyAlignment="1" applyProtection="1">
      <alignment horizontal="center" vertical="center"/>
    </xf>
    <xf numFmtId="0" fontId="40" fillId="5" borderId="36" xfId="3" applyFont="1" applyFill="1" applyBorder="1" applyAlignment="1" applyProtection="1">
      <alignment horizontal="center" vertical="center" wrapText="1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2"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19" totalsRowShown="0" headerRowDxfId="251" dataDxfId="249" headerRowBorderDxfId="250" tableBorderDxfId="248" headerRowCellStyle="Normal 3">
  <autoFilter ref="AP4:BH19" xr:uid="{00000000-0009-0000-0100-000001000000}"/>
  <sortState xmlns:xlrd2="http://schemas.microsoft.com/office/spreadsheetml/2017/richdata2" ref="AP5:BH19">
    <sortCondition ref="AQ5:AQ19"/>
    <sortCondition ref="AR5:AR19"/>
  </sortState>
  <tableColumns count="19">
    <tableColumn id="1" xr3:uid="{00000000-0010-0000-0000-000001000000}" name="Event" dataDxfId="247"/>
    <tableColumn id="2" xr3:uid="{00000000-0010-0000-0000-000002000000}" name="Start" dataDxfId="246"/>
    <tableColumn id="3" xr3:uid="{00000000-0010-0000-0000-000003000000}" name="End" dataDxfId="245"/>
    <tableColumn id="4" xr3:uid="{00000000-0010-0000-0000-000004000000}" name="Qty1" dataDxfId="244"/>
    <tableColumn id="5" xr3:uid="{00000000-0010-0000-0000-000005000000}" name="Champion1" dataDxfId="243"/>
    <tableColumn id="6" xr3:uid="{00000000-0010-0000-0000-000006000000}" name="Points1" dataDxfId="242"/>
    <tableColumn id="7" xr3:uid="{00000000-0010-0000-0000-000007000000}" name="Qty2" dataDxfId="241"/>
    <tableColumn id="8" xr3:uid="{00000000-0010-0000-0000-000008000000}" name="Champion2" dataDxfId="240"/>
    <tableColumn id="9" xr3:uid="{00000000-0010-0000-0000-000009000000}" name="Points2" dataDxfId="239"/>
    <tableColumn id="10" xr3:uid="{00000000-0010-0000-0000-00000A000000}" name="Qty3" dataDxfId="238"/>
    <tableColumn id="11" xr3:uid="{00000000-0010-0000-0000-00000B000000}" name="Champion3" dataDxfId="237"/>
    <tableColumn id="12" xr3:uid="{00000000-0010-0000-0000-00000C000000}" name="Points3" dataDxfId="236"/>
    <tableColumn id="13" xr3:uid="{00000000-0010-0000-0000-00000D000000}" name="Qty4" dataDxfId="235"/>
    <tableColumn id="14" xr3:uid="{00000000-0010-0000-0000-00000E000000}" name="Champion4" dataDxfId="234"/>
    <tableColumn id="15" xr3:uid="{00000000-0010-0000-0000-00000F000000}" name="Points4" dataDxfId="233"/>
    <tableColumn id="16" xr3:uid="{00000000-0010-0000-0000-000010000000}" name="Qty5" dataDxfId="232"/>
    <tableColumn id="17" xr3:uid="{00000000-0010-0000-0000-000011000000}" name="Champion5" dataDxfId="231"/>
    <tableColumn id="18" xr3:uid="{00000000-0010-0000-0000-000012000000}" name="Qty6" dataDxfId="230"/>
    <tableColumn id="19" xr3:uid="{00000000-0010-0000-0000-000013000000}" name="Champion6" dataDxfId="2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A1:CP249"/>
  <sheetViews>
    <sheetView showGridLines="0" showRowColHeaders="0" tabSelected="1" zoomScale="95" zoomScaleNormal="95" workbookViewId="0">
      <pane ySplit="9" topLeftCell="A10" activePane="bottomLeft" state="frozen"/>
      <selection pane="bottomLeft" activeCell="F37" sqref="F37:G37"/>
    </sheetView>
  </sheetViews>
  <sheetFormatPr defaultColWidth="9.140625" defaultRowHeight="12.75" x14ac:dyDescent="0.2"/>
  <cols>
    <col min="1" max="1" width="1.28515625" style="264" customWidth="1"/>
    <col min="2" max="2" width="31.5703125" style="264" customWidth="1"/>
    <col min="3" max="4" width="9.7109375" style="264" customWidth="1"/>
    <col min="5" max="5" width="9.28515625" style="264" customWidth="1"/>
    <col min="6" max="6" width="7.85546875" style="264" customWidth="1"/>
    <col min="7" max="7" width="7.140625" style="264" customWidth="1"/>
    <col min="8" max="8" width="5.42578125" style="264" customWidth="1"/>
    <col min="9" max="10" width="7.85546875" style="264" customWidth="1"/>
    <col min="11" max="37" width="2.7109375" style="264" customWidth="1"/>
    <col min="38" max="38" width="3.42578125" style="264" customWidth="1"/>
    <col min="39" max="39" width="8.5703125" style="264" customWidth="1"/>
    <col min="40" max="40" width="3.42578125" style="264" customWidth="1"/>
    <col min="41" max="41" width="8.5703125" style="264" customWidth="1"/>
    <col min="42" max="43" width="2.7109375" style="264" customWidth="1"/>
    <col min="44" max="44" width="2" style="264" hidden="1" customWidth="1"/>
    <col min="45" max="48" width="11" style="264" hidden="1" customWidth="1"/>
    <col min="49" max="49" width="1.42578125" style="264" hidden="1" customWidth="1"/>
    <col min="50" max="53" width="11" style="264" hidden="1" customWidth="1"/>
    <col min="54" max="54" width="1.42578125" style="264" hidden="1" customWidth="1"/>
    <col min="55" max="58" width="11" style="264" hidden="1" customWidth="1"/>
    <col min="59" max="59" width="1.42578125" style="264" hidden="1" customWidth="1"/>
    <col min="60" max="63" width="11" style="264" hidden="1" customWidth="1"/>
    <col min="64" max="64" width="1.85546875" style="264" hidden="1" customWidth="1"/>
    <col min="65" max="65" width="10" style="264" hidden="1" customWidth="1"/>
    <col min="66" max="90" width="8.85546875" style="264" hidden="1" customWidth="1"/>
    <col min="91" max="94" width="8.85546875" style="264" customWidth="1"/>
    <col min="95" max="16384" width="9.140625" style="264"/>
  </cols>
  <sheetData>
    <row r="1" spans="2:69" ht="30" customHeight="1" x14ac:dyDescent="0.2">
      <c r="B1" s="555" t="s">
        <v>420</v>
      </c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5"/>
      <c r="AG1" s="555"/>
      <c r="AH1" s="555"/>
      <c r="AI1" s="555"/>
      <c r="AJ1" s="555"/>
      <c r="AK1" s="555"/>
      <c r="AL1" s="555"/>
      <c r="AM1" s="555"/>
      <c r="AN1" s="555"/>
      <c r="AO1" s="555"/>
    </row>
    <row r="2" spans="2:69" ht="4.5" customHeight="1" x14ac:dyDescent="0.2">
      <c r="B2" s="265"/>
      <c r="C2" s="265"/>
      <c r="D2" s="265"/>
      <c r="E2" s="265"/>
      <c r="F2" s="265"/>
      <c r="G2" s="265"/>
      <c r="H2" s="265"/>
      <c r="I2" s="265"/>
      <c r="J2" s="265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</row>
    <row r="3" spans="2:69" ht="4.5" customHeight="1" thickBot="1" x14ac:dyDescent="0.25">
      <c r="B3" s="265"/>
      <c r="C3" s="265"/>
      <c r="D3" s="265"/>
      <c r="E3" s="265"/>
      <c r="F3" s="265"/>
      <c r="G3" s="265"/>
      <c r="H3" s="265"/>
      <c r="I3" s="265"/>
      <c r="J3" s="265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</row>
    <row r="4" spans="2:69" ht="21.75" customHeight="1" x14ac:dyDescent="0.2">
      <c r="B4" s="556" t="s">
        <v>421</v>
      </c>
      <c r="C4" s="556"/>
      <c r="D4" s="266"/>
      <c r="G4" s="523" t="s">
        <v>335</v>
      </c>
      <c r="H4" s="524"/>
      <c r="I4" s="525"/>
      <c r="J4" s="267"/>
      <c r="K4" s="523" t="s">
        <v>336</v>
      </c>
      <c r="L4" s="524"/>
      <c r="M4" s="524"/>
      <c r="N4" s="524"/>
      <c r="O4" s="524"/>
      <c r="P4" s="524"/>
      <c r="Q4" s="524"/>
      <c r="R4" s="525"/>
      <c r="S4" s="267"/>
      <c r="T4" s="267"/>
      <c r="U4" s="267"/>
      <c r="V4" s="523" t="s">
        <v>383</v>
      </c>
      <c r="W4" s="524"/>
      <c r="X4" s="524"/>
      <c r="Y4" s="524"/>
      <c r="Z4" s="524"/>
      <c r="AA4" s="524"/>
      <c r="AB4" s="524"/>
      <c r="AC4" s="525"/>
      <c r="AD4" s="267"/>
      <c r="AE4" s="268"/>
      <c r="AF4" s="268"/>
      <c r="AG4" s="268"/>
      <c r="AH4" s="268"/>
      <c r="AI4" s="268"/>
      <c r="AJ4" s="268"/>
      <c r="AK4" s="268"/>
      <c r="AL4" s="268"/>
      <c r="AM4" s="268"/>
      <c r="AN4" s="268"/>
    </row>
    <row r="5" spans="2:69" ht="15.75" customHeight="1" x14ac:dyDescent="0.2">
      <c r="B5" s="269" t="s">
        <v>427</v>
      </c>
      <c r="C5" s="270" t="s">
        <v>21</v>
      </c>
      <c r="D5" s="270" t="s">
        <v>265</v>
      </c>
      <c r="E5" s="549" t="str">
        <f>IF(V5&gt;=100,"Ready to fuse","")</f>
        <v/>
      </c>
      <c r="F5" s="550"/>
      <c r="G5" s="526">
        <f>SUMIF(HF_Champion1,HF_EC_Abbrev1,HF_Fragments1)+SUMIF(HF_Champion2,HF_EC_Abbrev1,HF_Fragments2)+SUMIF(HF_Champion3,HF_EC_Abbrev1,HF_Fragments3)+SUMIF(HF_Champion4,HF_EC_Abbrev1,HF_Fragments4)</f>
        <v>105</v>
      </c>
      <c r="H5" s="527"/>
      <c r="I5" s="528"/>
      <c r="J5" s="271"/>
      <c r="K5" s="526">
        <f>SUMIFS(HF_Fragments1,HF_Do1,"Yes",HF_Champion1,HF_EC_Abbrev1)+SUMIFS(HF_Fragments2,HF_Do2,"Yes",HF_Champion2,HF_EC_Abbrev1)+SUMIFS(HF_Fragments3,HF_Do3,"Yes",HF_Champion3,HF_EC_Abbrev1)+SUMIFS(HF_Fragments4,HF_Do4,"Yes",HF_Champion4,HF_EC_Abbrev1)</f>
        <v>85</v>
      </c>
      <c r="L5" s="527"/>
      <c r="M5" s="527"/>
      <c r="N5" s="527"/>
      <c r="O5" s="527"/>
      <c r="P5" s="527"/>
      <c r="Q5" s="527"/>
      <c r="R5" s="528"/>
      <c r="S5" s="272"/>
      <c r="T5" s="272"/>
      <c r="U5" s="272"/>
      <c r="V5" s="532">
        <f>SUM(AS37:AS58)+SUMIF(AM12:AM33,HF_EC_Abbrev1,AL12:AL33)+SUMIF(AO12:AO33,HF_EC_Abbrev1,AN12:AN233)</f>
        <v>0</v>
      </c>
      <c r="W5" s="533"/>
      <c r="X5" s="533"/>
      <c r="Y5" s="533"/>
      <c r="Z5" s="533"/>
      <c r="AA5" s="533"/>
      <c r="AB5" s="533"/>
      <c r="AC5" s="534"/>
      <c r="AD5" s="272"/>
      <c r="AE5" s="268"/>
      <c r="AF5" s="268"/>
      <c r="AG5" s="268"/>
      <c r="AH5" s="268"/>
      <c r="AI5" s="268"/>
      <c r="AJ5" s="268"/>
      <c r="AK5" s="268"/>
      <c r="AL5" s="268"/>
      <c r="AM5" s="268"/>
      <c r="AN5" s="268"/>
    </row>
    <row r="6" spans="2:69" ht="15.75" customHeight="1" x14ac:dyDescent="0.2">
      <c r="B6" s="273" t="s">
        <v>468</v>
      </c>
      <c r="C6" s="270" t="s">
        <v>21</v>
      </c>
      <c r="D6" s="270" t="s">
        <v>266</v>
      </c>
      <c r="E6" s="549" t="str">
        <f t="shared" ref="E6:E8" si="0">IF(V6&gt;=100,"Ready to fuse","")</f>
        <v/>
      </c>
      <c r="F6" s="550"/>
      <c r="G6" s="526">
        <f>SUMIF(HF_Champion1,HF_EC_Abbrev2,HF_Fragments1)+SUMIF(HF_Champion2,HF_EC_Abbrev2,HF_Fragments2)+SUMIF(HF_Champion3,HF_EC_Abbrev2,HF_Fragments3)+SUMIF(HF_Champion4,HF_EC_Abbrev2,HF_Fragments4)</f>
        <v>105</v>
      </c>
      <c r="H6" s="527"/>
      <c r="I6" s="528"/>
      <c r="J6" s="271"/>
      <c r="K6" s="526">
        <f>SUMIFS(HF_Fragments1,HF_Do1,"Yes",HF_Champion1,HF_EC_Abbrev2)+SUMIFS(HF_Fragments2,HF_Do2,"Yes",HF_Champion2,HF_EC_Abbrev2)+SUMIFS(HF_Fragments3,HF_Do3,"Yes",HF_Champion3,HF_EC_Abbrev2)+SUMIFS(HF_Fragments4,HF_Do4,"Yes",HF_Champion4,HF_EC_Abbrev2)</f>
        <v>75</v>
      </c>
      <c r="L6" s="527"/>
      <c r="M6" s="527"/>
      <c r="N6" s="527"/>
      <c r="O6" s="527"/>
      <c r="P6" s="527"/>
      <c r="Q6" s="527"/>
      <c r="R6" s="528"/>
      <c r="S6" s="272"/>
      <c r="T6" s="272"/>
      <c r="U6" s="272"/>
      <c r="V6" s="532">
        <f>SUM(AT37:AT58)+SUMIF(AM12:AM33,HF_EC_Abbrev2,AL12:AL33)+SUMIF(AO12:AO33,HF_EC_Abbrev2,AN12:AN233)</f>
        <v>0</v>
      </c>
      <c r="W6" s="533"/>
      <c r="X6" s="533"/>
      <c r="Y6" s="533"/>
      <c r="Z6" s="533"/>
      <c r="AA6" s="533"/>
      <c r="AB6" s="533"/>
      <c r="AC6" s="534"/>
      <c r="AD6" s="272"/>
      <c r="AE6" s="268"/>
      <c r="AF6" s="268"/>
      <c r="AG6" s="268"/>
      <c r="AH6" s="268"/>
      <c r="AI6" s="268"/>
      <c r="AJ6" s="268"/>
      <c r="AK6" s="268"/>
      <c r="AL6" s="268"/>
      <c r="AM6" s="268"/>
      <c r="AN6" s="268"/>
    </row>
    <row r="7" spans="2:69" ht="15.75" customHeight="1" x14ac:dyDescent="0.2">
      <c r="B7" s="273" t="s">
        <v>469</v>
      </c>
      <c r="C7" s="270" t="s">
        <v>21</v>
      </c>
      <c r="D7" s="270" t="s">
        <v>268</v>
      </c>
      <c r="E7" s="549" t="str">
        <f t="shared" si="0"/>
        <v/>
      </c>
      <c r="F7" s="550"/>
      <c r="G7" s="526">
        <f>SUMIF(HF_Champion1,HF_EC_Abbrev3,HF_Fragments1)+SUMIF(HF_Champion2,HF_EC_Abbrev3,HF_Fragments2)+SUMIF(HF_Champion3,HF_EC_Abbrev3,HF_Fragments3)+SUMIF(HF_Champion4,HF_EC_Abbrev3,HF_Fragments4)</f>
        <v>100</v>
      </c>
      <c r="H7" s="527"/>
      <c r="I7" s="528"/>
      <c r="J7" s="271"/>
      <c r="K7" s="526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527"/>
      <c r="M7" s="527"/>
      <c r="N7" s="527"/>
      <c r="O7" s="527"/>
      <c r="P7" s="527"/>
      <c r="Q7" s="527"/>
      <c r="R7" s="528"/>
      <c r="S7" s="272"/>
      <c r="T7" s="272"/>
      <c r="U7" s="272"/>
      <c r="V7" s="532">
        <f>SUM(AU37:AU58)+SUMIF(AM12:AM33,HF_EC_Abbrev3,AL12:AL33)+SUMIF(AO12:AO33,HF_EC_Abbrev3,AN12:AN233)</f>
        <v>0</v>
      </c>
      <c r="W7" s="533"/>
      <c r="X7" s="533"/>
      <c r="Y7" s="533"/>
      <c r="Z7" s="533"/>
      <c r="AA7" s="533"/>
      <c r="AB7" s="533"/>
      <c r="AC7" s="534"/>
      <c r="AD7" s="272"/>
      <c r="AE7" s="268"/>
      <c r="AF7" s="268"/>
      <c r="AG7" s="268"/>
      <c r="AH7" s="268"/>
      <c r="AI7" s="268"/>
      <c r="AJ7" s="268"/>
      <c r="AK7" s="268"/>
      <c r="AL7" s="268"/>
      <c r="AM7" s="268"/>
      <c r="AN7" s="268"/>
    </row>
    <row r="8" spans="2:69" ht="15.75" customHeight="1" thickBot="1" x14ac:dyDescent="0.25">
      <c r="B8" s="273" t="s">
        <v>426</v>
      </c>
      <c r="C8" s="270" t="s">
        <v>21</v>
      </c>
      <c r="D8" s="270" t="s">
        <v>265</v>
      </c>
      <c r="E8" s="549" t="str">
        <f t="shared" si="0"/>
        <v/>
      </c>
      <c r="F8" s="550"/>
      <c r="G8" s="529">
        <f>SUMIF(HF_Champion1,HF_EC_Abbrev4,HF_Fragments1)+SUMIF(HF_Champion2,HF_EC_Abbrev4,HF_Fragments2)+SUMIF(HF_Champion3,HF_EC_Abbrev4,HF_Fragments3)+SUMIF(HF_Champion4,HF_EC_Abbrev4,HF_Fragments4)</f>
        <v>105</v>
      </c>
      <c r="H8" s="530"/>
      <c r="I8" s="531"/>
      <c r="J8" s="271"/>
      <c r="K8" s="529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530"/>
      <c r="M8" s="530"/>
      <c r="N8" s="530"/>
      <c r="O8" s="530"/>
      <c r="P8" s="530"/>
      <c r="Q8" s="530"/>
      <c r="R8" s="531"/>
      <c r="S8" s="272"/>
      <c r="T8" s="272"/>
      <c r="U8" s="272"/>
      <c r="V8" s="535">
        <f>SUM(AV37:AV58)+SUMIF(AM12:AM33,HF_EC_Abbrev4,AL12:AL33)+SUMIF(AO12:AO33,HF_EC_Abbrev4,AN12:AN233)</f>
        <v>0</v>
      </c>
      <c r="W8" s="536"/>
      <c r="X8" s="536"/>
      <c r="Y8" s="536"/>
      <c r="Z8" s="536"/>
      <c r="AA8" s="536"/>
      <c r="AB8" s="536"/>
      <c r="AC8" s="537"/>
      <c r="AD8" s="272"/>
      <c r="AE8" s="272"/>
      <c r="AF8" s="272"/>
      <c r="AG8" s="272"/>
      <c r="AH8" s="272"/>
      <c r="AI8" s="272"/>
      <c r="AJ8" s="272"/>
      <c r="AK8" s="272"/>
    </row>
    <row r="9" spans="2:69" ht="4.5" customHeight="1" x14ac:dyDescent="0.2">
      <c r="B9" s="274"/>
      <c r="C9" s="275"/>
      <c r="D9" s="275"/>
      <c r="E9" s="275"/>
      <c r="F9" s="275"/>
      <c r="G9" s="274"/>
      <c r="H9" s="274"/>
      <c r="I9" s="274"/>
      <c r="J9" s="274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</row>
    <row r="10" spans="2:69" x14ac:dyDescent="0.2">
      <c r="E10" s="560" t="s">
        <v>338</v>
      </c>
      <c r="F10" s="560"/>
      <c r="G10" s="560"/>
      <c r="H10" s="560"/>
      <c r="I10" s="560" t="s">
        <v>339</v>
      </c>
      <c r="J10" s="560"/>
      <c r="K10" s="560"/>
      <c r="L10" s="560"/>
      <c r="M10" s="560"/>
      <c r="N10" s="560"/>
      <c r="O10" s="560"/>
      <c r="P10" s="560" t="s">
        <v>340</v>
      </c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 t="s">
        <v>341</v>
      </c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57" t="s">
        <v>424</v>
      </c>
      <c r="AM10" s="558"/>
      <c r="AN10" s="558"/>
      <c r="AO10" s="559"/>
    </row>
    <row r="11" spans="2:69" x14ac:dyDescent="0.2">
      <c r="B11" s="276" t="s">
        <v>344</v>
      </c>
      <c r="C11" s="277" t="s">
        <v>345</v>
      </c>
      <c r="D11" s="278" t="s">
        <v>346</v>
      </c>
      <c r="E11" s="277" t="s">
        <v>422</v>
      </c>
      <c r="F11" s="277" t="s">
        <v>423</v>
      </c>
      <c r="G11" s="277" t="s">
        <v>348</v>
      </c>
      <c r="H11" s="277" t="s">
        <v>349</v>
      </c>
      <c r="I11" s="277" t="s">
        <v>422</v>
      </c>
      <c r="J11" s="277" t="s">
        <v>423</v>
      </c>
      <c r="K11" s="554" t="s">
        <v>348</v>
      </c>
      <c r="L11" s="554"/>
      <c r="M11" s="554"/>
      <c r="N11" s="554" t="s">
        <v>349</v>
      </c>
      <c r="O11" s="554"/>
      <c r="P11" s="554" t="s">
        <v>422</v>
      </c>
      <c r="Q11" s="554"/>
      <c r="R11" s="554"/>
      <c r="S11" s="551" t="s">
        <v>423</v>
      </c>
      <c r="T11" s="552"/>
      <c r="U11" s="553"/>
      <c r="V11" s="554" t="s">
        <v>348</v>
      </c>
      <c r="W11" s="554"/>
      <c r="X11" s="554"/>
      <c r="Y11" s="554" t="s">
        <v>349</v>
      </c>
      <c r="Z11" s="554"/>
      <c r="AA11" s="554" t="s">
        <v>422</v>
      </c>
      <c r="AB11" s="554"/>
      <c r="AC11" s="554"/>
      <c r="AD11" s="551" t="s">
        <v>423</v>
      </c>
      <c r="AE11" s="552"/>
      <c r="AF11" s="553"/>
      <c r="AG11" s="554" t="s">
        <v>348</v>
      </c>
      <c r="AH11" s="554"/>
      <c r="AI11" s="554"/>
      <c r="AJ11" s="554" t="s">
        <v>349</v>
      </c>
      <c r="AK11" s="554"/>
      <c r="AL11" s="277" t="s">
        <v>422</v>
      </c>
      <c r="AM11" s="277" t="s">
        <v>423</v>
      </c>
      <c r="AN11" s="277" t="s">
        <v>422</v>
      </c>
      <c r="AO11" s="277" t="s">
        <v>423</v>
      </c>
      <c r="BP11" s="279"/>
      <c r="BQ11" s="279"/>
    </row>
    <row r="12" spans="2:69" x14ac:dyDescent="0.2">
      <c r="B12" s="280" t="s">
        <v>357</v>
      </c>
      <c r="C12" s="281">
        <v>44299</v>
      </c>
      <c r="D12" s="282">
        <v>4</v>
      </c>
      <c r="E12" s="283">
        <v>15</v>
      </c>
      <c r="F12" s="283" t="s">
        <v>427</v>
      </c>
      <c r="G12" s="262">
        <v>2000</v>
      </c>
      <c r="H12" s="399" t="s">
        <v>352</v>
      </c>
      <c r="I12" s="283"/>
      <c r="J12" s="283"/>
      <c r="K12" s="543"/>
      <c r="L12" s="544"/>
      <c r="M12" s="545"/>
      <c r="N12" s="538"/>
      <c r="O12" s="539"/>
      <c r="P12" s="540"/>
      <c r="Q12" s="541"/>
      <c r="R12" s="542"/>
      <c r="S12" s="540"/>
      <c r="T12" s="541"/>
      <c r="U12" s="542"/>
      <c r="V12" s="543"/>
      <c r="W12" s="544"/>
      <c r="X12" s="545"/>
      <c r="Y12" s="538"/>
      <c r="Z12" s="539"/>
      <c r="AA12" s="540"/>
      <c r="AB12" s="541"/>
      <c r="AC12" s="542"/>
      <c r="AD12" s="540"/>
      <c r="AE12" s="541"/>
      <c r="AF12" s="542"/>
      <c r="AG12" s="543"/>
      <c r="AH12" s="544"/>
      <c r="AI12" s="545"/>
      <c r="AJ12" s="538"/>
      <c r="AK12" s="539"/>
      <c r="AL12" s="398"/>
      <c r="AM12" s="285"/>
      <c r="AN12" s="398"/>
      <c r="AO12" s="284"/>
      <c r="BP12" s="279"/>
      <c r="BQ12" s="279"/>
    </row>
    <row r="13" spans="2:69" x14ac:dyDescent="0.2">
      <c r="B13" s="286" t="s">
        <v>353</v>
      </c>
      <c r="C13" s="281">
        <v>44299</v>
      </c>
      <c r="D13" s="282">
        <v>4</v>
      </c>
      <c r="E13" s="283">
        <v>15</v>
      </c>
      <c r="F13" s="283" t="s">
        <v>428</v>
      </c>
      <c r="G13" s="262">
        <v>2050</v>
      </c>
      <c r="H13" s="399" t="s">
        <v>352</v>
      </c>
      <c r="I13" s="283"/>
      <c r="J13" s="283"/>
      <c r="K13" s="543"/>
      <c r="L13" s="544"/>
      <c r="M13" s="545"/>
      <c r="N13" s="538"/>
      <c r="O13" s="539"/>
      <c r="P13" s="540"/>
      <c r="Q13" s="541"/>
      <c r="R13" s="542"/>
      <c r="S13" s="540"/>
      <c r="T13" s="541"/>
      <c r="U13" s="542"/>
      <c r="V13" s="543"/>
      <c r="W13" s="544"/>
      <c r="X13" s="545"/>
      <c r="Y13" s="538"/>
      <c r="Z13" s="539"/>
      <c r="AA13" s="540"/>
      <c r="AB13" s="541"/>
      <c r="AC13" s="542"/>
      <c r="AD13" s="540"/>
      <c r="AE13" s="541"/>
      <c r="AF13" s="542"/>
      <c r="AG13" s="543"/>
      <c r="AH13" s="544"/>
      <c r="AI13" s="545"/>
      <c r="AJ13" s="538"/>
      <c r="AK13" s="539"/>
      <c r="AL13" s="398"/>
      <c r="AM13" s="285" t="s">
        <v>428</v>
      </c>
      <c r="AN13" s="398"/>
      <c r="AO13" s="284"/>
      <c r="BP13" s="279"/>
      <c r="BQ13" s="279"/>
    </row>
    <row r="14" spans="2:69" x14ac:dyDescent="0.2">
      <c r="B14" s="286" t="s">
        <v>466</v>
      </c>
      <c r="C14" s="281">
        <v>44301</v>
      </c>
      <c r="D14" s="282">
        <v>6</v>
      </c>
      <c r="E14" s="283">
        <v>15</v>
      </c>
      <c r="F14" s="283" t="s">
        <v>426</v>
      </c>
      <c r="G14" s="262">
        <v>455</v>
      </c>
      <c r="H14" s="399" t="s">
        <v>352</v>
      </c>
      <c r="I14" s="283"/>
      <c r="J14" s="283"/>
      <c r="K14" s="543"/>
      <c r="L14" s="544"/>
      <c r="M14" s="545"/>
      <c r="N14" s="538"/>
      <c r="O14" s="539"/>
      <c r="P14" s="540"/>
      <c r="Q14" s="541"/>
      <c r="R14" s="542"/>
      <c r="S14" s="540"/>
      <c r="T14" s="541"/>
      <c r="U14" s="542"/>
      <c r="V14" s="543"/>
      <c r="W14" s="544"/>
      <c r="X14" s="545"/>
      <c r="Y14" s="538"/>
      <c r="Z14" s="539"/>
      <c r="AA14" s="540"/>
      <c r="AB14" s="541"/>
      <c r="AC14" s="542"/>
      <c r="AD14" s="540"/>
      <c r="AE14" s="541"/>
      <c r="AF14" s="542"/>
      <c r="AG14" s="543"/>
      <c r="AH14" s="544"/>
      <c r="AI14" s="545"/>
      <c r="AJ14" s="538"/>
      <c r="AK14" s="539"/>
      <c r="AL14" s="398"/>
      <c r="AM14" s="285" t="s">
        <v>426</v>
      </c>
      <c r="AN14" s="398"/>
      <c r="AO14" s="284"/>
      <c r="BP14" s="279"/>
      <c r="BQ14" s="279"/>
    </row>
    <row r="15" spans="2:69" x14ac:dyDescent="0.2">
      <c r="B15" s="286" t="s">
        <v>369</v>
      </c>
      <c r="C15" s="281">
        <v>44302</v>
      </c>
      <c r="D15" s="282">
        <v>4</v>
      </c>
      <c r="E15" s="283">
        <v>15</v>
      </c>
      <c r="F15" s="283" t="s">
        <v>426</v>
      </c>
      <c r="G15" s="262">
        <v>1150</v>
      </c>
      <c r="H15" s="399" t="s">
        <v>352</v>
      </c>
      <c r="I15" s="283">
        <v>20</v>
      </c>
      <c r="J15" s="283" t="s">
        <v>425</v>
      </c>
      <c r="K15" s="543">
        <v>2500</v>
      </c>
      <c r="L15" s="544"/>
      <c r="M15" s="545"/>
      <c r="N15" s="538" t="s">
        <v>222</v>
      </c>
      <c r="O15" s="539"/>
      <c r="P15" s="540"/>
      <c r="Q15" s="541"/>
      <c r="R15" s="542"/>
      <c r="S15" s="540"/>
      <c r="T15" s="541"/>
      <c r="U15" s="542"/>
      <c r="V15" s="543"/>
      <c r="W15" s="544"/>
      <c r="X15" s="545"/>
      <c r="Y15" s="538"/>
      <c r="Z15" s="539"/>
      <c r="AA15" s="540"/>
      <c r="AB15" s="541"/>
      <c r="AC15" s="542"/>
      <c r="AD15" s="540"/>
      <c r="AE15" s="541"/>
      <c r="AF15" s="542"/>
      <c r="AG15" s="543"/>
      <c r="AH15" s="544"/>
      <c r="AI15" s="545"/>
      <c r="AJ15" s="538"/>
      <c r="AK15" s="539"/>
      <c r="AL15" s="398"/>
      <c r="AM15" s="285" t="s">
        <v>425</v>
      </c>
      <c r="AN15" s="398"/>
      <c r="AO15" s="284" t="s">
        <v>426</v>
      </c>
      <c r="BP15" s="279"/>
      <c r="BQ15" s="279"/>
    </row>
    <row r="16" spans="2:69" x14ac:dyDescent="0.2">
      <c r="B16" s="286" t="s">
        <v>373</v>
      </c>
      <c r="C16" s="281">
        <v>44302</v>
      </c>
      <c r="D16" s="282">
        <v>8</v>
      </c>
      <c r="E16" s="283">
        <v>15</v>
      </c>
      <c r="F16" s="283" t="s">
        <v>427</v>
      </c>
      <c r="G16" s="262">
        <v>2500</v>
      </c>
      <c r="H16" s="399" t="s">
        <v>352</v>
      </c>
      <c r="I16" s="283">
        <v>15</v>
      </c>
      <c r="J16" s="283" t="s">
        <v>428</v>
      </c>
      <c r="K16" s="543">
        <v>4150</v>
      </c>
      <c r="L16" s="544"/>
      <c r="M16" s="545"/>
      <c r="N16" s="538" t="s">
        <v>222</v>
      </c>
      <c r="O16" s="539"/>
      <c r="P16" s="540">
        <v>20</v>
      </c>
      <c r="Q16" s="541"/>
      <c r="R16" s="542"/>
      <c r="S16" s="540" t="s">
        <v>426</v>
      </c>
      <c r="T16" s="541"/>
      <c r="U16" s="542"/>
      <c r="V16" s="543">
        <v>7300</v>
      </c>
      <c r="W16" s="544"/>
      <c r="X16" s="545"/>
      <c r="Y16" s="538" t="s">
        <v>222</v>
      </c>
      <c r="Z16" s="539"/>
      <c r="AA16" s="540">
        <v>20</v>
      </c>
      <c r="AB16" s="541"/>
      <c r="AC16" s="542"/>
      <c r="AD16" s="540" t="s">
        <v>425</v>
      </c>
      <c r="AE16" s="541"/>
      <c r="AF16" s="542"/>
      <c r="AG16" s="543">
        <v>12750</v>
      </c>
      <c r="AH16" s="544"/>
      <c r="AI16" s="545"/>
      <c r="AJ16" s="538" t="s">
        <v>222</v>
      </c>
      <c r="AK16" s="539"/>
      <c r="AL16" s="398"/>
      <c r="AM16" s="285"/>
      <c r="AN16" s="398"/>
      <c r="AO16" s="284"/>
      <c r="BP16" s="279"/>
      <c r="BQ16" s="279"/>
    </row>
    <row r="17" spans="2:69" x14ac:dyDescent="0.2">
      <c r="B17" s="286" t="s">
        <v>364</v>
      </c>
      <c r="C17" s="281">
        <v>44303</v>
      </c>
      <c r="D17" s="282">
        <v>4</v>
      </c>
      <c r="E17" s="283">
        <v>20</v>
      </c>
      <c r="F17" s="283" t="s">
        <v>428</v>
      </c>
      <c r="G17" s="262">
        <v>1800</v>
      </c>
      <c r="H17" s="399" t="s">
        <v>352</v>
      </c>
      <c r="I17" s="283"/>
      <c r="J17" s="283"/>
      <c r="K17" s="543"/>
      <c r="L17" s="544"/>
      <c r="M17" s="545"/>
      <c r="N17" s="538"/>
      <c r="O17" s="539"/>
      <c r="P17" s="540"/>
      <c r="Q17" s="541"/>
      <c r="R17" s="542"/>
      <c r="S17" s="540"/>
      <c r="T17" s="541"/>
      <c r="U17" s="542"/>
      <c r="V17" s="543"/>
      <c r="W17" s="544"/>
      <c r="X17" s="545"/>
      <c r="Y17" s="538"/>
      <c r="Z17" s="539"/>
      <c r="AA17" s="540"/>
      <c r="AB17" s="541"/>
      <c r="AC17" s="542"/>
      <c r="AD17" s="540"/>
      <c r="AE17" s="541"/>
      <c r="AF17" s="542"/>
      <c r="AG17" s="543"/>
      <c r="AH17" s="544"/>
      <c r="AI17" s="545"/>
      <c r="AJ17" s="538"/>
      <c r="AK17" s="539"/>
      <c r="AL17" s="398"/>
      <c r="AM17" s="285" t="s">
        <v>428</v>
      </c>
      <c r="AN17" s="398"/>
      <c r="AO17" s="284"/>
      <c r="BP17" s="279"/>
      <c r="BQ17" s="279"/>
    </row>
    <row r="18" spans="2:69" x14ac:dyDescent="0.2">
      <c r="B18" s="286" t="s">
        <v>463</v>
      </c>
      <c r="C18" s="281">
        <v>44304</v>
      </c>
      <c r="D18" s="282">
        <v>5</v>
      </c>
      <c r="E18" s="283">
        <v>15</v>
      </c>
      <c r="F18" s="283" t="s">
        <v>427</v>
      </c>
      <c r="G18" s="262">
        <v>1500</v>
      </c>
      <c r="H18" s="399" t="s">
        <v>352</v>
      </c>
      <c r="I18" s="283">
        <v>20</v>
      </c>
      <c r="J18" s="283" t="s">
        <v>426</v>
      </c>
      <c r="K18" s="543">
        <v>2875</v>
      </c>
      <c r="L18" s="544"/>
      <c r="M18" s="545"/>
      <c r="N18" s="538" t="s">
        <v>222</v>
      </c>
      <c r="O18" s="539"/>
      <c r="P18" s="540"/>
      <c r="Q18" s="541"/>
      <c r="R18" s="542"/>
      <c r="S18" s="540"/>
      <c r="T18" s="541"/>
      <c r="U18" s="542"/>
      <c r="V18" s="543"/>
      <c r="W18" s="544"/>
      <c r="X18" s="545"/>
      <c r="Y18" s="538"/>
      <c r="Z18" s="539"/>
      <c r="AA18" s="540"/>
      <c r="AB18" s="541"/>
      <c r="AC18" s="542"/>
      <c r="AD18" s="540"/>
      <c r="AE18" s="541"/>
      <c r="AF18" s="542"/>
      <c r="AG18" s="543"/>
      <c r="AH18" s="544"/>
      <c r="AI18" s="545"/>
      <c r="AJ18" s="538"/>
      <c r="AK18" s="539"/>
      <c r="AL18" s="398"/>
      <c r="AM18" s="285"/>
      <c r="AN18" s="398"/>
      <c r="AO18" s="284"/>
      <c r="BP18" s="279"/>
      <c r="BQ18" s="279"/>
    </row>
    <row r="19" spans="2:69" x14ac:dyDescent="0.2">
      <c r="B19" s="286" t="s">
        <v>363</v>
      </c>
      <c r="C19" s="281">
        <v>44306</v>
      </c>
      <c r="D19" s="282">
        <v>4</v>
      </c>
      <c r="E19" s="283">
        <v>20</v>
      </c>
      <c r="F19" s="283" t="s">
        <v>427</v>
      </c>
      <c r="G19" s="262">
        <v>1800</v>
      </c>
      <c r="H19" s="399" t="s">
        <v>352</v>
      </c>
      <c r="I19" s="283"/>
      <c r="J19" s="283"/>
      <c r="K19" s="543"/>
      <c r="L19" s="544"/>
      <c r="M19" s="545"/>
      <c r="N19" s="538"/>
      <c r="O19" s="539"/>
      <c r="P19" s="540"/>
      <c r="Q19" s="541"/>
      <c r="R19" s="542"/>
      <c r="S19" s="540"/>
      <c r="T19" s="541"/>
      <c r="U19" s="542"/>
      <c r="V19" s="543"/>
      <c r="W19" s="544"/>
      <c r="X19" s="545"/>
      <c r="Y19" s="538"/>
      <c r="Z19" s="539"/>
      <c r="AA19" s="540"/>
      <c r="AB19" s="541"/>
      <c r="AC19" s="542"/>
      <c r="AD19" s="540"/>
      <c r="AE19" s="541"/>
      <c r="AF19" s="542"/>
      <c r="AG19" s="543"/>
      <c r="AH19" s="544"/>
      <c r="AI19" s="545"/>
      <c r="AJ19" s="538"/>
      <c r="AK19" s="539"/>
      <c r="AL19" s="398"/>
      <c r="AM19" s="285" t="s">
        <v>427</v>
      </c>
      <c r="AN19" s="398"/>
      <c r="AO19" s="284"/>
      <c r="BP19" s="279"/>
      <c r="BQ19" s="279"/>
    </row>
    <row r="20" spans="2:69" x14ac:dyDescent="0.2">
      <c r="B20" s="286" t="s">
        <v>368</v>
      </c>
      <c r="C20" s="281">
        <v>44306</v>
      </c>
      <c r="D20" s="282">
        <v>5</v>
      </c>
      <c r="E20" s="283">
        <v>25</v>
      </c>
      <c r="F20" s="283" t="s">
        <v>428</v>
      </c>
      <c r="G20" s="262">
        <v>3300</v>
      </c>
      <c r="H20" s="399" t="s">
        <v>352</v>
      </c>
      <c r="I20" s="283"/>
      <c r="J20" s="283"/>
      <c r="K20" s="543"/>
      <c r="L20" s="544"/>
      <c r="M20" s="545"/>
      <c r="N20" s="538"/>
      <c r="O20" s="539"/>
      <c r="P20" s="540"/>
      <c r="Q20" s="541"/>
      <c r="R20" s="542"/>
      <c r="S20" s="540"/>
      <c r="T20" s="541"/>
      <c r="U20" s="542"/>
      <c r="V20" s="543"/>
      <c r="W20" s="544"/>
      <c r="X20" s="545"/>
      <c r="Y20" s="538"/>
      <c r="Z20" s="539"/>
      <c r="AA20" s="540"/>
      <c r="AB20" s="541"/>
      <c r="AC20" s="542"/>
      <c r="AD20" s="540"/>
      <c r="AE20" s="541"/>
      <c r="AF20" s="542"/>
      <c r="AG20" s="543"/>
      <c r="AH20" s="544"/>
      <c r="AI20" s="545"/>
      <c r="AJ20" s="538"/>
      <c r="AK20" s="539"/>
      <c r="AL20" s="398"/>
      <c r="AM20" s="285"/>
      <c r="AN20" s="398"/>
      <c r="AO20" s="284"/>
      <c r="BP20" s="279"/>
      <c r="BQ20" s="279"/>
    </row>
    <row r="21" spans="2:69" x14ac:dyDescent="0.2">
      <c r="B21" s="286" t="s">
        <v>467</v>
      </c>
      <c r="C21" s="281">
        <v>44309</v>
      </c>
      <c r="D21" s="282">
        <v>3</v>
      </c>
      <c r="E21" s="283">
        <v>15</v>
      </c>
      <c r="F21" s="283" t="s">
        <v>428</v>
      </c>
      <c r="G21" s="262">
        <v>140</v>
      </c>
      <c r="H21" s="399" t="s">
        <v>352</v>
      </c>
      <c r="I21" s="283"/>
      <c r="J21" s="283"/>
      <c r="K21" s="543"/>
      <c r="L21" s="544"/>
      <c r="M21" s="545"/>
      <c r="N21" s="538"/>
      <c r="O21" s="539"/>
      <c r="P21" s="540"/>
      <c r="Q21" s="541"/>
      <c r="R21" s="542"/>
      <c r="S21" s="540"/>
      <c r="T21" s="541"/>
      <c r="U21" s="542"/>
      <c r="V21" s="543"/>
      <c r="W21" s="544"/>
      <c r="X21" s="545"/>
      <c r="Y21" s="538"/>
      <c r="Z21" s="539"/>
      <c r="AA21" s="540"/>
      <c r="AB21" s="541"/>
      <c r="AC21" s="542"/>
      <c r="AD21" s="540"/>
      <c r="AE21" s="541"/>
      <c r="AF21" s="542"/>
      <c r="AG21" s="543"/>
      <c r="AH21" s="544"/>
      <c r="AI21" s="545"/>
      <c r="AJ21" s="538"/>
      <c r="AK21" s="539"/>
      <c r="AL21" s="398"/>
      <c r="AM21" s="285" t="s">
        <v>428</v>
      </c>
      <c r="AN21" s="398"/>
      <c r="AO21" s="284"/>
      <c r="BP21" s="279"/>
      <c r="BQ21" s="279"/>
    </row>
    <row r="22" spans="2:69" x14ac:dyDescent="0.2">
      <c r="B22" s="286" t="s">
        <v>358</v>
      </c>
      <c r="C22" s="281">
        <v>44309</v>
      </c>
      <c r="D22" s="282">
        <v>4</v>
      </c>
      <c r="E22" s="283">
        <v>15</v>
      </c>
      <c r="F22" s="283" t="s">
        <v>425</v>
      </c>
      <c r="G22" s="262">
        <v>1400</v>
      </c>
      <c r="H22" s="399" t="s">
        <v>352</v>
      </c>
      <c r="I22" s="283">
        <v>20</v>
      </c>
      <c r="J22" s="283" t="s">
        <v>426</v>
      </c>
      <c r="K22" s="543">
        <v>3000</v>
      </c>
      <c r="L22" s="544"/>
      <c r="M22" s="545"/>
      <c r="N22" s="538" t="s">
        <v>222</v>
      </c>
      <c r="O22" s="539"/>
      <c r="P22" s="540"/>
      <c r="Q22" s="541"/>
      <c r="R22" s="542"/>
      <c r="S22" s="540"/>
      <c r="T22" s="541"/>
      <c r="U22" s="542"/>
      <c r="V22" s="543"/>
      <c r="W22" s="544"/>
      <c r="X22" s="545"/>
      <c r="Y22" s="538"/>
      <c r="Z22" s="539"/>
      <c r="AA22" s="540"/>
      <c r="AB22" s="541"/>
      <c r="AC22" s="542"/>
      <c r="AD22" s="540"/>
      <c r="AE22" s="541"/>
      <c r="AF22" s="542"/>
      <c r="AG22" s="543"/>
      <c r="AH22" s="544"/>
      <c r="AI22" s="545"/>
      <c r="AJ22" s="538"/>
      <c r="AK22" s="539"/>
      <c r="AL22" s="398"/>
      <c r="AM22" s="285"/>
      <c r="AN22" s="398"/>
      <c r="AO22" s="284"/>
      <c r="BP22" s="279"/>
      <c r="BQ22" s="279"/>
    </row>
    <row r="23" spans="2:69" x14ac:dyDescent="0.2">
      <c r="B23" s="286" t="s">
        <v>375</v>
      </c>
      <c r="C23" s="281">
        <v>44310</v>
      </c>
      <c r="D23" s="282">
        <v>4</v>
      </c>
      <c r="E23" s="283">
        <v>15</v>
      </c>
      <c r="F23" s="283" t="s">
        <v>425</v>
      </c>
      <c r="G23" s="262">
        <v>2050</v>
      </c>
      <c r="H23" s="399" t="s">
        <v>352</v>
      </c>
      <c r="I23" s="283"/>
      <c r="J23" s="283"/>
      <c r="K23" s="543"/>
      <c r="L23" s="544"/>
      <c r="M23" s="545"/>
      <c r="N23" s="538"/>
      <c r="O23" s="539"/>
      <c r="P23" s="540"/>
      <c r="Q23" s="541"/>
      <c r="R23" s="542"/>
      <c r="S23" s="540"/>
      <c r="T23" s="541"/>
      <c r="U23" s="542"/>
      <c r="V23" s="543"/>
      <c r="W23" s="544"/>
      <c r="X23" s="545"/>
      <c r="Y23" s="538"/>
      <c r="Z23" s="539"/>
      <c r="AA23" s="540"/>
      <c r="AB23" s="541"/>
      <c r="AC23" s="542"/>
      <c r="AD23" s="540"/>
      <c r="AE23" s="541"/>
      <c r="AF23" s="542"/>
      <c r="AG23" s="543"/>
      <c r="AH23" s="544"/>
      <c r="AI23" s="545"/>
      <c r="AJ23" s="538"/>
      <c r="AK23" s="539"/>
      <c r="AL23" s="398"/>
      <c r="AM23" s="285" t="s">
        <v>425</v>
      </c>
      <c r="AN23" s="398"/>
      <c r="AO23" s="284"/>
      <c r="BP23" s="279"/>
      <c r="BQ23" s="279"/>
    </row>
    <row r="24" spans="2:69" x14ac:dyDescent="0.2">
      <c r="B24" s="286" t="s">
        <v>464</v>
      </c>
      <c r="C24" s="281">
        <v>44310</v>
      </c>
      <c r="D24" s="282">
        <v>6</v>
      </c>
      <c r="E24" s="283">
        <v>20</v>
      </c>
      <c r="F24" s="283" t="s">
        <v>427</v>
      </c>
      <c r="G24" s="262">
        <v>950</v>
      </c>
      <c r="H24" s="399" t="s">
        <v>352</v>
      </c>
      <c r="I24" s="283">
        <v>15</v>
      </c>
      <c r="J24" s="283" t="s">
        <v>428</v>
      </c>
      <c r="K24" s="543">
        <v>2150</v>
      </c>
      <c r="L24" s="544"/>
      <c r="M24" s="545"/>
      <c r="N24" s="538" t="s">
        <v>222</v>
      </c>
      <c r="O24" s="539"/>
      <c r="P24" s="540">
        <v>15</v>
      </c>
      <c r="Q24" s="541"/>
      <c r="R24" s="542"/>
      <c r="S24" s="540" t="s">
        <v>425</v>
      </c>
      <c r="T24" s="541"/>
      <c r="U24" s="542"/>
      <c r="V24" s="543">
        <v>3625</v>
      </c>
      <c r="W24" s="544"/>
      <c r="X24" s="545"/>
      <c r="Y24" s="538" t="s">
        <v>222</v>
      </c>
      <c r="Z24" s="539"/>
      <c r="AA24" s="540"/>
      <c r="AB24" s="541"/>
      <c r="AC24" s="542"/>
      <c r="AD24" s="540"/>
      <c r="AE24" s="541"/>
      <c r="AF24" s="542"/>
      <c r="AG24" s="543"/>
      <c r="AH24" s="544"/>
      <c r="AI24" s="545"/>
      <c r="AJ24" s="538"/>
      <c r="AK24" s="539"/>
      <c r="AL24" s="398"/>
      <c r="AM24" s="285"/>
      <c r="AN24" s="398"/>
      <c r="AO24" s="284"/>
      <c r="BP24" s="279"/>
      <c r="BQ24" s="279"/>
    </row>
    <row r="25" spans="2:69" x14ac:dyDescent="0.2">
      <c r="B25" s="286" t="s">
        <v>465</v>
      </c>
      <c r="C25" s="281">
        <v>44311</v>
      </c>
      <c r="D25" s="282">
        <v>4</v>
      </c>
      <c r="E25" s="283">
        <v>15</v>
      </c>
      <c r="F25" s="283" t="s">
        <v>425</v>
      </c>
      <c r="G25" s="262">
        <v>3300</v>
      </c>
      <c r="H25" s="399" t="s">
        <v>352</v>
      </c>
      <c r="I25" s="283"/>
      <c r="J25" s="283"/>
      <c r="K25" s="543"/>
      <c r="L25" s="544"/>
      <c r="M25" s="545"/>
      <c r="N25" s="538"/>
      <c r="O25" s="539"/>
      <c r="P25" s="540"/>
      <c r="Q25" s="541"/>
      <c r="R25" s="542"/>
      <c r="S25" s="540"/>
      <c r="T25" s="541"/>
      <c r="U25" s="542"/>
      <c r="V25" s="543"/>
      <c r="W25" s="544"/>
      <c r="X25" s="545"/>
      <c r="Y25" s="538"/>
      <c r="Z25" s="539"/>
      <c r="AA25" s="540"/>
      <c r="AB25" s="541"/>
      <c r="AC25" s="542"/>
      <c r="AD25" s="540"/>
      <c r="AE25" s="541"/>
      <c r="AF25" s="542"/>
      <c r="AG25" s="543"/>
      <c r="AH25" s="544"/>
      <c r="AI25" s="545"/>
      <c r="AJ25" s="538"/>
      <c r="AK25" s="539"/>
      <c r="AL25" s="398"/>
      <c r="AM25" s="285"/>
      <c r="AN25" s="398"/>
      <c r="AO25" s="284"/>
      <c r="BP25" s="279"/>
      <c r="BQ25" s="279"/>
    </row>
    <row r="26" spans="2:69" x14ac:dyDescent="0.2">
      <c r="B26" s="286" t="s">
        <v>360</v>
      </c>
      <c r="C26" s="281">
        <v>44311</v>
      </c>
      <c r="D26" s="282">
        <v>4</v>
      </c>
      <c r="E26" s="283">
        <v>15</v>
      </c>
      <c r="F26" s="283" t="s">
        <v>426</v>
      </c>
      <c r="G26" s="262">
        <v>2125</v>
      </c>
      <c r="H26" s="399" t="s">
        <v>352</v>
      </c>
      <c r="I26" s="283">
        <v>20</v>
      </c>
      <c r="J26" s="283" t="s">
        <v>427</v>
      </c>
      <c r="K26" s="543">
        <v>4200</v>
      </c>
      <c r="L26" s="544"/>
      <c r="M26" s="545"/>
      <c r="N26" s="538" t="s">
        <v>222</v>
      </c>
      <c r="O26" s="539"/>
      <c r="P26" s="540"/>
      <c r="Q26" s="541"/>
      <c r="R26" s="542"/>
      <c r="S26" s="540"/>
      <c r="T26" s="541"/>
      <c r="U26" s="542"/>
      <c r="V26" s="543"/>
      <c r="W26" s="544"/>
      <c r="X26" s="545"/>
      <c r="Y26" s="538"/>
      <c r="Z26" s="539"/>
      <c r="AA26" s="540"/>
      <c r="AB26" s="541"/>
      <c r="AC26" s="542"/>
      <c r="AD26" s="540"/>
      <c r="AE26" s="541"/>
      <c r="AF26" s="542"/>
      <c r="AG26" s="543"/>
      <c r="AH26" s="544"/>
      <c r="AI26" s="545"/>
      <c r="AJ26" s="538"/>
      <c r="AK26" s="539"/>
      <c r="AL26" s="398"/>
      <c r="AM26" s="285" t="s">
        <v>427</v>
      </c>
      <c r="AN26" s="398"/>
      <c r="AO26" s="284" t="s">
        <v>426</v>
      </c>
      <c r="BP26" s="279"/>
      <c r="BQ26" s="279"/>
    </row>
    <row r="27" spans="2:69" ht="15" hidden="1" customHeight="1" x14ac:dyDescent="0.2">
      <c r="B27" s="286"/>
      <c r="C27" s="281"/>
      <c r="D27" s="282"/>
      <c r="E27" s="283"/>
      <c r="F27" s="283"/>
      <c r="G27" s="262"/>
      <c r="H27" s="399"/>
      <c r="I27" s="283"/>
      <c r="J27" s="283"/>
      <c r="K27" s="543"/>
      <c r="L27" s="544"/>
      <c r="M27" s="545"/>
      <c r="N27" s="538"/>
      <c r="O27" s="539"/>
      <c r="P27" s="540"/>
      <c r="Q27" s="541"/>
      <c r="R27" s="542"/>
      <c r="S27" s="540"/>
      <c r="T27" s="541"/>
      <c r="U27" s="542"/>
      <c r="V27" s="543"/>
      <c r="W27" s="544"/>
      <c r="X27" s="545"/>
      <c r="Y27" s="538"/>
      <c r="Z27" s="539"/>
      <c r="AA27" s="540"/>
      <c r="AB27" s="541"/>
      <c r="AC27" s="542"/>
      <c r="AD27" s="540"/>
      <c r="AE27" s="541"/>
      <c r="AF27" s="542"/>
      <c r="AG27" s="543"/>
      <c r="AH27" s="544"/>
      <c r="AI27" s="545"/>
      <c r="AJ27" s="538"/>
      <c r="AK27" s="539"/>
      <c r="AL27" s="398"/>
      <c r="AM27" s="285"/>
      <c r="AN27" s="398"/>
      <c r="AO27" s="284"/>
      <c r="BP27" s="279"/>
      <c r="BQ27" s="279"/>
    </row>
    <row r="28" spans="2:69" ht="15" hidden="1" customHeight="1" x14ac:dyDescent="0.2">
      <c r="B28" s="286"/>
      <c r="C28" s="281"/>
      <c r="D28" s="282"/>
      <c r="E28" s="283"/>
      <c r="F28" s="283"/>
      <c r="G28" s="262"/>
      <c r="H28" s="399"/>
      <c r="I28" s="283"/>
      <c r="J28" s="283"/>
      <c r="K28" s="543"/>
      <c r="L28" s="544"/>
      <c r="M28" s="545"/>
      <c r="N28" s="538"/>
      <c r="O28" s="539"/>
      <c r="P28" s="540"/>
      <c r="Q28" s="541"/>
      <c r="R28" s="542"/>
      <c r="S28" s="540"/>
      <c r="T28" s="541"/>
      <c r="U28" s="542"/>
      <c r="V28" s="543"/>
      <c r="W28" s="544"/>
      <c r="X28" s="545"/>
      <c r="Y28" s="538"/>
      <c r="Z28" s="539"/>
      <c r="AA28" s="540"/>
      <c r="AB28" s="541"/>
      <c r="AC28" s="542"/>
      <c r="AD28" s="540"/>
      <c r="AE28" s="541"/>
      <c r="AF28" s="542"/>
      <c r="AG28" s="543"/>
      <c r="AH28" s="544"/>
      <c r="AI28" s="545"/>
      <c r="AJ28" s="538"/>
      <c r="AK28" s="539"/>
      <c r="AL28" s="398"/>
      <c r="AM28" s="285"/>
      <c r="AN28" s="398"/>
      <c r="AO28" s="284"/>
      <c r="BP28" s="279"/>
      <c r="BQ28" s="279"/>
    </row>
    <row r="29" spans="2:69" ht="15.75" hidden="1" customHeight="1" x14ac:dyDescent="0.2">
      <c r="B29" s="286"/>
      <c r="C29" s="281"/>
      <c r="D29" s="282"/>
      <c r="E29" s="283"/>
      <c r="F29" s="283"/>
      <c r="G29" s="262"/>
      <c r="H29" s="399"/>
      <c r="I29" s="283"/>
      <c r="J29" s="283"/>
      <c r="K29" s="543"/>
      <c r="L29" s="544"/>
      <c r="M29" s="545"/>
      <c r="N29" s="538"/>
      <c r="O29" s="539"/>
      <c r="P29" s="540"/>
      <c r="Q29" s="541"/>
      <c r="R29" s="542"/>
      <c r="S29" s="540"/>
      <c r="T29" s="541"/>
      <c r="U29" s="542"/>
      <c r="V29" s="543"/>
      <c r="W29" s="544"/>
      <c r="X29" s="545"/>
      <c r="Y29" s="538"/>
      <c r="Z29" s="539"/>
      <c r="AA29" s="540"/>
      <c r="AB29" s="541"/>
      <c r="AC29" s="542"/>
      <c r="AD29" s="540"/>
      <c r="AE29" s="541"/>
      <c r="AF29" s="542"/>
      <c r="AG29" s="543"/>
      <c r="AH29" s="544"/>
      <c r="AI29" s="545"/>
      <c r="AJ29" s="538"/>
      <c r="AK29" s="539"/>
      <c r="AL29" s="398"/>
      <c r="AM29" s="285"/>
      <c r="AN29" s="398"/>
      <c r="AO29" s="284"/>
      <c r="BP29" s="279"/>
      <c r="BQ29" s="279"/>
    </row>
    <row r="30" spans="2:69" ht="15.75" hidden="1" customHeight="1" x14ac:dyDescent="0.2">
      <c r="B30" s="286"/>
      <c r="C30" s="281"/>
      <c r="D30" s="282"/>
      <c r="E30" s="283"/>
      <c r="F30" s="283"/>
      <c r="G30" s="262"/>
      <c r="H30" s="399"/>
      <c r="I30" s="283"/>
      <c r="J30" s="283"/>
      <c r="K30" s="543"/>
      <c r="L30" s="544"/>
      <c r="M30" s="545"/>
      <c r="N30" s="538"/>
      <c r="O30" s="539"/>
      <c r="P30" s="540"/>
      <c r="Q30" s="541"/>
      <c r="R30" s="542"/>
      <c r="S30" s="540"/>
      <c r="T30" s="541"/>
      <c r="U30" s="542"/>
      <c r="V30" s="543"/>
      <c r="W30" s="544"/>
      <c r="X30" s="545"/>
      <c r="Y30" s="538"/>
      <c r="Z30" s="539"/>
      <c r="AA30" s="540"/>
      <c r="AB30" s="541"/>
      <c r="AC30" s="542"/>
      <c r="AD30" s="540"/>
      <c r="AE30" s="541"/>
      <c r="AF30" s="542"/>
      <c r="AG30" s="543"/>
      <c r="AH30" s="544"/>
      <c r="AI30" s="545"/>
      <c r="AJ30" s="538"/>
      <c r="AK30" s="539"/>
      <c r="AL30" s="398"/>
      <c r="AM30" s="285"/>
      <c r="AN30" s="398"/>
      <c r="AO30" s="284"/>
      <c r="BP30" s="279"/>
      <c r="BQ30" s="279"/>
    </row>
    <row r="31" spans="2:69" ht="15" hidden="1" customHeight="1" x14ac:dyDescent="0.2">
      <c r="B31" s="286"/>
      <c r="C31" s="281"/>
      <c r="D31" s="282"/>
      <c r="E31" s="283"/>
      <c r="F31" s="283"/>
      <c r="G31" s="262"/>
      <c r="H31" s="399"/>
      <c r="I31" s="283"/>
      <c r="J31" s="283"/>
      <c r="K31" s="543"/>
      <c r="L31" s="544"/>
      <c r="M31" s="545"/>
      <c r="N31" s="538"/>
      <c r="O31" s="539"/>
      <c r="P31" s="540"/>
      <c r="Q31" s="541"/>
      <c r="R31" s="542"/>
      <c r="S31" s="540"/>
      <c r="T31" s="541"/>
      <c r="U31" s="542"/>
      <c r="V31" s="543"/>
      <c r="W31" s="544"/>
      <c r="X31" s="545"/>
      <c r="Y31" s="538"/>
      <c r="Z31" s="539"/>
      <c r="AA31" s="540"/>
      <c r="AB31" s="541"/>
      <c r="AC31" s="542"/>
      <c r="AD31" s="540"/>
      <c r="AE31" s="541"/>
      <c r="AF31" s="542"/>
      <c r="AG31" s="543"/>
      <c r="AH31" s="544"/>
      <c r="AI31" s="545"/>
      <c r="AJ31" s="538"/>
      <c r="AK31" s="539"/>
      <c r="AL31" s="398"/>
      <c r="AM31" s="285"/>
      <c r="AN31" s="398"/>
      <c r="AO31" s="284"/>
      <c r="BP31" s="279"/>
      <c r="BQ31" s="279"/>
    </row>
    <row r="32" spans="2:69" ht="15" hidden="1" customHeight="1" x14ac:dyDescent="0.2">
      <c r="B32" s="286"/>
      <c r="C32" s="281"/>
      <c r="D32" s="282"/>
      <c r="E32" s="283"/>
      <c r="F32" s="283"/>
      <c r="G32" s="262"/>
      <c r="H32" s="399"/>
      <c r="I32" s="283"/>
      <c r="J32" s="283"/>
      <c r="K32" s="543"/>
      <c r="L32" s="544"/>
      <c r="M32" s="545"/>
      <c r="N32" s="538"/>
      <c r="O32" s="539"/>
      <c r="P32" s="540"/>
      <c r="Q32" s="541"/>
      <c r="R32" s="542"/>
      <c r="S32" s="540"/>
      <c r="T32" s="541"/>
      <c r="U32" s="542"/>
      <c r="V32" s="543"/>
      <c r="W32" s="544"/>
      <c r="X32" s="545"/>
      <c r="Y32" s="538"/>
      <c r="Z32" s="539"/>
      <c r="AA32" s="540"/>
      <c r="AB32" s="541"/>
      <c r="AC32" s="542"/>
      <c r="AD32" s="540"/>
      <c r="AE32" s="541"/>
      <c r="AF32" s="542"/>
      <c r="AG32" s="543"/>
      <c r="AH32" s="544"/>
      <c r="AI32" s="545"/>
      <c r="AJ32" s="538"/>
      <c r="AK32" s="539"/>
      <c r="AL32" s="398"/>
      <c r="AM32" s="285"/>
      <c r="AN32" s="398"/>
      <c r="AO32" s="284"/>
      <c r="BP32" s="279"/>
      <c r="BQ32" s="279"/>
    </row>
    <row r="33" spans="2:69" ht="15" hidden="1" customHeight="1" x14ac:dyDescent="0.2">
      <c r="B33" s="286"/>
      <c r="C33" s="281"/>
      <c r="D33" s="282"/>
      <c r="E33" s="283"/>
      <c r="F33" s="283"/>
      <c r="G33" s="262"/>
      <c r="H33" s="399"/>
      <c r="I33" s="283"/>
      <c r="J33" s="283"/>
      <c r="K33" s="543"/>
      <c r="L33" s="544"/>
      <c r="M33" s="545"/>
      <c r="N33" s="538"/>
      <c r="O33" s="539"/>
      <c r="P33" s="540"/>
      <c r="Q33" s="541"/>
      <c r="R33" s="542"/>
      <c r="S33" s="540"/>
      <c r="T33" s="541"/>
      <c r="U33" s="542"/>
      <c r="V33" s="543"/>
      <c r="W33" s="544"/>
      <c r="X33" s="545"/>
      <c r="Y33" s="538"/>
      <c r="Z33" s="539"/>
      <c r="AA33" s="540"/>
      <c r="AB33" s="541"/>
      <c r="AC33" s="542"/>
      <c r="AD33" s="540"/>
      <c r="AE33" s="541"/>
      <c r="AF33" s="542"/>
      <c r="AG33" s="543"/>
      <c r="AH33" s="544"/>
      <c r="AI33" s="545"/>
      <c r="AJ33" s="538"/>
      <c r="AK33" s="539"/>
      <c r="AL33" s="398"/>
      <c r="AM33" s="285"/>
      <c r="AN33" s="398"/>
      <c r="AO33" s="284"/>
      <c r="BP33" s="279"/>
      <c r="BQ33" s="279"/>
    </row>
    <row r="34" spans="2:69" ht="13.5" thickBot="1" x14ac:dyDescent="0.25">
      <c r="B34" s="287"/>
      <c r="C34" s="274"/>
      <c r="D34" s="274"/>
      <c r="E34" s="274"/>
      <c r="F34" s="274"/>
      <c r="G34" s="274"/>
      <c r="H34" s="274"/>
      <c r="I34" s="274"/>
      <c r="J34" s="274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227"/>
      <c r="W34" s="227"/>
      <c r="X34" s="227"/>
      <c r="Y34" s="227"/>
      <c r="Z34" s="227"/>
      <c r="AA34" s="227"/>
      <c r="AB34" s="227"/>
      <c r="AC34" s="227"/>
      <c r="AD34" s="227"/>
      <c r="AE34" s="227"/>
      <c r="AF34" s="227"/>
      <c r="AG34" s="227"/>
      <c r="AH34" s="227"/>
      <c r="AI34" s="227"/>
      <c r="AJ34" s="227"/>
      <c r="AK34" s="227"/>
      <c r="BP34" s="279"/>
      <c r="BQ34" s="279"/>
    </row>
    <row r="35" spans="2:69" s="279" customFormat="1" ht="24" customHeight="1" x14ac:dyDescent="0.2">
      <c r="B35" s="683" t="s">
        <v>378</v>
      </c>
      <c r="C35" s="683"/>
      <c r="D35" s="683"/>
      <c r="E35" s="683"/>
      <c r="F35" s="683"/>
      <c r="G35" s="683"/>
      <c r="H35" s="683"/>
      <c r="I35" s="683"/>
      <c r="J35" s="683"/>
      <c r="K35" s="288">
        <f>D37-WEEKDAY(D37,1)+2</f>
        <v>44298</v>
      </c>
      <c r="L35" s="288">
        <f t="shared" ref="L35:AK35" si="1">K35+1</f>
        <v>44299</v>
      </c>
      <c r="M35" s="288">
        <f t="shared" si="1"/>
        <v>44300</v>
      </c>
      <c r="N35" s="288">
        <f t="shared" si="1"/>
        <v>44301</v>
      </c>
      <c r="O35" s="288">
        <f t="shared" si="1"/>
        <v>44302</v>
      </c>
      <c r="P35" s="288">
        <f t="shared" si="1"/>
        <v>44303</v>
      </c>
      <c r="Q35" s="288">
        <f t="shared" si="1"/>
        <v>44304</v>
      </c>
      <c r="R35" s="288">
        <f t="shared" si="1"/>
        <v>44305</v>
      </c>
      <c r="S35" s="288">
        <f t="shared" si="1"/>
        <v>44306</v>
      </c>
      <c r="T35" s="288">
        <f t="shared" si="1"/>
        <v>44307</v>
      </c>
      <c r="U35" s="288">
        <f t="shared" si="1"/>
        <v>44308</v>
      </c>
      <c r="V35" s="288">
        <f t="shared" si="1"/>
        <v>44309</v>
      </c>
      <c r="W35" s="288">
        <f t="shared" si="1"/>
        <v>44310</v>
      </c>
      <c r="X35" s="288">
        <f t="shared" si="1"/>
        <v>44311</v>
      </c>
      <c r="Y35" s="288">
        <f t="shared" si="1"/>
        <v>44312</v>
      </c>
      <c r="Z35" s="288">
        <f t="shared" si="1"/>
        <v>44313</v>
      </c>
      <c r="AA35" s="288">
        <f t="shared" si="1"/>
        <v>44314</v>
      </c>
      <c r="AB35" s="288">
        <f t="shared" si="1"/>
        <v>44315</v>
      </c>
      <c r="AC35" s="288">
        <f t="shared" si="1"/>
        <v>44316</v>
      </c>
      <c r="AD35" s="288">
        <f t="shared" si="1"/>
        <v>44317</v>
      </c>
      <c r="AE35" s="288">
        <f t="shared" si="1"/>
        <v>44318</v>
      </c>
      <c r="AF35" s="288">
        <f t="shared" si="1"/>
        <v>44319</v>
      </c>
      <c r="AG35" s="288">
        <f t="shared" si="1"/>
        <v>44320</v>
      </c>
      <c r="AH35" s="288">
        <f t="shared" si="1"/>
        <v>44321</v>
      </c>
      <c r="AI35" s="288">
        <f t="shared" si="1"/>
        <v>44322</v>
      </c>
      <c r="AJ35" s="288">
        <f t="shared" si="1"/>
        <v>44323</v>
      </c>
      <c r="AK35" s="288">
        <f t="shared" si="1"/>
        <v>44324</v>
      </c>
      <c r="AS35" s="546" t="s">
        <v>383</v>
      </c>
      <c r="AT35" s="547"/>
      <c r="AU35" s="547"/>
      <c r="AV35" s="548"/>
    </row>
    <row r="36" spans="2:69" s="279" customFormat="1" ht="24.75" customHeight="1" x14ac:dyDescent="0.2">
      <c r="B36" s="522" t="s">
        <v>344</v>
      </c>
      <c r="C36" s="522"/>
      <c r="D36" s="400" t="s">
        <v>345</v>
      </c>
      <c r="E36" s="400" t="s">
        <v>380</v>
      </c>
      <c r="F36" s="519" t="s">
        <v>381</v>
      </c>
      <c r="G36" s="519"/>
      <c r="H36" s="519" t="s">
        <v>382</v>
      </c>
      <c r="I36" s="519"/>
      <c r="J36" s="684" t="s">
        <v>462</v>
      </c>
      <c r="K36" s="289" t="str">
        <f t="shared" ref="K36:AD36" si="2">CHOOSE(WEEKDAY(K35,1),"S","M","T","W","T","F","S")</f>
        <v>M</v>
      </c>
      <c r="L36" s="289" t="str">
        <f t="shared" si="2"/>
        <v>T</v>
      </c>
      <c r="M36" s="289" t="str">
        <f t="shared" si="2"/>
        <v>W</v>
      </c>
      <c r="N36" s="289" t="str">
        <f t="shared" si="2"/>
        <v>T</v>
      </c>
      <c r="O36" s="289" t="str">
        <f t="shared" si="2"/>
        <v>F</v>
      </c>
      <c r="P36" s="289" t="str">
        <f t="shared" si="2"/>
        <v>S</v>
      </c>
      <c r="Q36" s="289" t="str">
        <f t="shared" si="2"/>
        <v>S</v>
      </c>
      <c r="R36" s="289" t="str">
        <f t="shared" si="2"/>
        <v>M</v>
      </c>
      <c r="S36" s="289" t="str">
        <f t="shared" si="2"/>
        <v>T</v>
      </c>
      <c r="T36" s="289" t="str">
        <f t="shared" si="2"/>
        <v>W</v>
      </c>
      <c r="U36" s="289" t="str">
        <f t="shared" si="2"/>
        <v>T</v>
      </c>
      <c r="V36" s="289" t="str">
        <f t="shared" si="2"/>
        <v>F</v>
      </c>
      <c r="W36" s="289" t="str">
        <f t="shared" si="2"/>
        <v>S</v>
      </c>
      <c r="X36" s="289" t="str">
        <f t="shared" si="2"/>
        <v>S</v>
      </c>
      <c r="Y36" s="289" t="str">
        <f t="shared" si="2"/>
        <v>M</v>
      </c>
      <c r="Z36" s="289" t="str">
        <f t="shared" si="2"/>
        <v>T</v>
      </c>
      <c r="AA36" s="289" t="str">
        <f t="shared" si="2"/>
        <v>W</v>
      </c>
      <c r="AB36" s="289" t="str">
        <f t="shared" si="2"/>
        <v>T</v>
      </c>
      <c r="AC36" s="289" t="str">
        <f t="shared" si="2"/>
        <v>F</v>
      </c>
      <c r="AD36" s="289" t="str">
        <f t="shared" si="2"/>
        <v>S</v>
      </c>
      <c r="AE36" s="289" t="str">
        <f t="shared" ref="AE36:AK36" si="3">CHOOSE(WEEKDAY(AE35,1),"S","M","T","W","T","F","S")</f>
        <v>S</v>
      </c>
      <c r="AF36" s="289" t="str">
        <f t="shared" si="3"/>
        <v>M</v>
      </c>
      <c r="AG36" s="289" t="str">
        <f t="shared" si="3"/>
        <v>T</v>
      </c>
      <c r="AH36" s="289" t="str">
        <f t="shared" si="3"/>
        <v>W</v>
      </c>
      <c r="AI36" s="289" t="str">
        <f t="shared" si="3"/>
        <v>T</v>
      </c>
      <c r="AJ36" s="289" t="str">
        <f t="shared" si="3"/>
        <v>F</v>
      </c>
      <c r="AK36" s="289" t="str">
        <f t="shared" si="3"/>
        <v>S</v>
      </c>
      <c r="AS36" s="290" t="str">
        <f>HF_EC_Abbrev1</f>
        <v>Fenshi</v>
      </c>
      <c r="AT36" s="291" t="str">
        <f>HF_EC_Abbrev2</f>
        <v>Giscard</v>
      </c>
      <c r="AU36" s="291" t="str">
        <f>HF_EC_Abbrev3</f>
        <v>Skimfos</v>
      </c>
      <c r="AV36" s="292" t="str">
        <f>HF_EC_Abbrev4</f>
        <v>Mordecai</v>
      </c>
    </row>
    <row r="37" spans="2:69" s="296" customFormat="1" ht="15" customHeight="1" x14ac:dyDescent="0.25">
      <c r="B37" s="520" t="str">
        <f>IF(B12="","",B12)</f>
        <v>Artifact Enhancement Event I</v>
      </c>
      <c r="C37" s="520"/>
      <c r="D37" s="293">
        <f>IF(B37="","",C12)</f>
        <v>44299</v>
      </c>
      <c r="E37" s="293">
        <f>IF(ISBLANK(D37)," - ",IF(D12=0,D37,D37+D12-1))</f>
        <v>44302</v>
      </c>
      <c r="F37" s="521"/>
      <c r="G37" s="521"/>
      <c r="H37" s="518" t="str">
        <f>IF(F37=0,"",IF(F37/MAX(G12,K12,V12,AG12)&gt;1,1,F37/MAX(G12,K12,V12,AG12)))</f>
        <v/>
      </c>
      <c r="I37" s="518"/>
      <c r="J37" s="298" t="str">
        <f>IF(F37=0,"",IF($F37&gt;=MAX($G12,$K12,$V12,$AG12),$E12+$I12+$P12+$AA12,IF($F37&gt;=MAX($G12,$K12,$V12),$E12+$I12+$P12,IF($F37&gt;=MAX($G12,$K12),$E12+$I12,IF($F37&gt;=$G12,$E12,"")))))</f>
        <v/>
      </c>
      <c r="K37" s="294"/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5"/>
      <c r="AG37" s="295"/>
      <c r="AH37" s="295"/>
      <c r="AI37" s="295"/>
      <c r="AJ37" s="295"/>
      <c r="AK37" s="295"/>
      <c r="AS37" s="297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98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98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99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96" customFormat="1" ht="15" customHeight="1" x14ac:dyDescent="0.25">
      <c r="B38" s="520" t="str">
        <f t="shared" ref="B38:B58" si="8">IF(B13="","",B13)</f>
        <v>Dragon Tournament</v>
      </c>
      <c r="C38" s="520"/>
      <c r="D38" s="293">
        <f>IF(B38="","",C13)</f>
        <v>44299</v>
      </c>
      <c r="E38" s="293">
        <f>IF(ISBLANK(D38)," - ",IF(D13=0,D38,D38+D13-1))</f>
        <v>44302</v>
      </c>
      <c r="F38" s="521"/>
      <c r="G38" s="521"/>
      <c r="H38" s="518" t="str">
        <f t="shared" ref="H38:H51" si="9">IF(F38=0,"",IF(F38/MAX(G13,K13,V13,AG13)&gt;1,1,F38/MAX(G13,K13,V13,AG13)))</f>
        <v/>
      </c>
      <c r="I38" s="518"/>
      <c r="J38" s="298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94"/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5"/>
      <c r="AG38" s="295"/>
      <c r="AH38" s="295"/>
      <c r="AI38" s="295"/>
      <c r="AJ38" s="295"/>
      <c r="AK38" s="295"/>
      <c r="AS38" s="297" t="str">
        <f t="shared" si="4"/>
        <v/>
      </c>
      <c r="AT38" s="298" t="str">
        <f t="shared" si="5"/>
        <v/>
      </c>
      <c r="AU38" s="298" t="str">
        <f t="shared" si="6"/>
        <v/>
      </c>
      <c r="AV38" s="299" t="str">
        <f t="shared" si="7"/>
        <v/>
      </c>
    </row>
    <row r="39" spans="2:69" s="296" customFormat="1" ht="15" customHeight="1" x14ac:dyDescent="0.25">
      <c r="B39" s="520" t="str">
        <f t="shared" si="8"/>
        <v>Classic Arena Takedown Tournament I</v>
      </c>
      <c r="C39" s="520"/>
      <c r="D39" s="293">
        <f>IF(B39="","",C15)</f>
        <v>44302</v>
      </c>
      <c r="E39" s="293">
        <f>IF(ISBLANK(D39)," - ",IF(D15=0,D39,D39+D15-1))</f>
        <v>44305</v>
      </c>
      <c r="F39" s="521"/>
      <c r="G39" s="521"/>
      <c r="H39" s="518" t="str">
        <f t="shared" si="9"/>
        <v/>
      </c>
      <c r="I39" s="518"/>
      <c r="J39" s="298" t="str">
        <f t="shared" si="10"/>
        <v/>
      </c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5"/>
      <c r="AG39" s="295"/>
      <c r="AH39" s="295"/>
      <c r="AI39" s="295"/>
      <c r="AJ39" s="295"/>
      <c r="AK39" s="295"/>
      <c r="AS39" s="297" t="str">
        <f t="shared" si="4"/>
        <v/>
      </c>
      <c r="AT39" s="298" t="str">
        <f t="shared" si="5"/>
        <v/>
      </c>
      <c r="AU39" s="298" t="str">
        <f t="shared" si="6"/>
        <v/>
      </c>
      <c r="AV39" s="299" t="str">
        <f t="shared" si="7"/>
        <v/>
      </c>
    </row>
    <row r="40" spans="2:69" s="296" customFormat="1" ht="15" customHeight="1" x14ac:dyDescent="0.25">
      <c r="B40" s="520" t="str">
        <f t="shared" si="8"/>
        <v>Champion Chase Tournament</v>
      </c>
      <c r="C40" s="520"/>
      <c r="D40" s="293">
        <f>IF(B40="","",C14)</f>
        <v>44301</v>
      </c>
      <c r="E40" s="293">
        <f>IF(ISBLANK(D40)," - ",IF(D14=0,D40,D40+D14-1))</f>
        <v>44306</v>
      </c>
      <c r="F40" s="521"/>
      <c r="G40" s="521"/>
      <c r="H40" s="518" t="str">
        <f t="shared" si="9"/>
        <v/>
      </c>
      <c r="I40" s="518"/>
      <c r="J40" s="298" t="str">
        <f t="shared" si="10"/>
        <v/>
      </c>
      <c r="K40" s="294"/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5"/>
      <c r="AG40" s="295"/>
      <c r="AH40" s="295"/>
      <c r="AI40" s="295"/>
      <c r="AJ40" s="295"/>
      <c r="AK40" s="295"/>
      <c r="AS40" s="297" t="str">
        <f t="shared" si="4"/>
        <v/>
      </c>
      <c r="AT40" s="298" t="str">
        <f t="shared" si="5"/>
        <v/>
      </c>
      <c r="AU40" s="298" t="str">
        <f t="shared" si="6"/>
        <v/>
      </c>
      <c r="AV40" s="299" t="str">
        <f t="shared" si="7"/>
        <v/>
      </c>
    </row>
    <row r="41" spans="2:69" s="296" customFormat="1" ht="15" customHeight="1" x14ac:dyDescent="0.25">
      <c r="B41" s="520" t="str">
        <f t="shared" si="8"/>
        <v>Champion Training Event</v>
      </c>
      <c r="C41" s="520"/>
      <c r="D41" s="293">
        <f t="shared" ref="D41:D58" si="11">IF(B41="","",C16)</f>
        <v>44302</v>
      </c>
      <c r="E41" s="293">
        <f t="shared" ref="E41:E58" si="12">IF(ISBLANK(D41)," - ",IF(D16=0,D41,D41+D16-1))</f>
        <v>44309</v>
      </c>
      <c r="F41" s="521"/>
      <c r="G41" s="521"/>
      <c r="H41" s="518" t="str">
        <f t="shared" si="9"/>
        <v/>
      </c>
      <c r="I41" s="518"/>
      <c r="J41" s="298" t="str">
        <f t="shared" si="10"/>
        <v/>
      </c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5"/>
      <c r="AG41" s="295"/>
      <c r="AH41" s="295"/>
      <c r="AI41" s="295"/>
      <c r="AJ41" s="295"/>
      <c r="AK41" s="295"/>
      <c r="AS41" s="297" t="str">
        <f t="shared" si="4"/>
        <v/>
      </c>
      <c r="AT41" s="298" t="str">
        <f t="shared" si="5"/>
        <v/>
      </c>
      <c r="AU41" s="298" t="str">
        <f t="shared" si="6"/>
        <v/>
      </c>
      <c r="AV41" s="299" t="str">
        <f t="shared" si="7"/>
        <v/>
      </c>
    </row>
    <row r="42" spans="2:69" s="296" customFormat="1" ht="15" customHeight="1" x14ac:dyDescent="0.25">
      <c r="B42" s="520" t="str">
        <f t="shared" si="8"/>
        <v>Fire Knight Tournament</v>
      </c>
      <c r="C42" s="520"/>
      <c r="D42" s="293">
        <f t="shared" si="11"/>
        <v>44303</v>
      </c>
      <c r="E42" s="293">
        <f t="shared" si="12"/>
        <v>44306</v>
      </c>
      <c r="F42" s="521"/>
      <c r="G42" s="521"/>
      <c r="H42" s="518" t="str">
        <f t="shared" si="9"/>
        <v/>
      </c>
      <c r="I42" s="518"/>
      <c r="J42" s="298" t="str">
        <f t="shared" si="10"/>
        <v/>
      </c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5"/>
      <c r="AG42" s="295"/>
      <c r="AH42" s="295"/>
      <c r="AI42" s="295"/>
      <c r="AJ42" s="295"/>
      <c r="AK42" s="295"/>
      <c r="AS42" s="297" t="str">
        <f t="shared" si="4"/>
        <v/>
      </c>
      <c r="AT42" s="298" t="str">
        <f t="shared" si="5"/>
        <v/>
      </c>
      <c r="AU42" s="298" t="str">
        <f t="shared" si="6"/>
        <v/>
      </c>
      <c r="AV42" s="299" t="str">
        <f t="shared" si="7"/>
        <v/>
      </c>
    </row>
    <row r="43" spans="2:69" s="296" customFormat="1" ht="15" customHeight="1" x14ac:dyDescent="0.25">
      <c r="B43" s="520" t="str">
        <f t="shared" si="8"/>
        <v>Dungeon Divers Event I</v>
      </c>
      <c r="C43" s="520"/>
      <c r="D43" s="293">
        <f t="shared" si="11"/>
        <v>44304</v>
      </c>
      <c r="E43" s="293">
        <f t="shared" si="12"/>
        <v>44308</v>
      </c>
      <c r="F43" s="521"/>
      <c r="G43" s="521"/>
      <c r="H43" s="518" t="str">
        <f t="shared" si="9"/>
        <v/>
      </c>
      <c r="I43" s="518"/>
      <c r="J43" s="298" t="str">
        <f t="shared" si="10"/>
        <v/>
      </c>
      <c r="K43" s="294"/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5"/>
      <c r="AG43" s="295"/>
      <c r="AH43" s="295"/>
      <c r="AI43" s="295"/>
      <c r="AJ43" s="295"/>
      <c r="AK43" s="295"/>
      <c r="AS43" s="297" t="str">
        <f t="shared" si="4"/>
        <v/>
      </c>
      <c r="AT43" s="298" t="str">
        <f t="shared" si="5"/>
        <v/>
      </c>
      <c r="AU43" s="298" t="str">
        <f t="shared" si="6"/>
        <v/>
      </c>
      <c r="AV43" s="299" t="str">
        <f t="shared" si="7"/>
        <v/>
      </c>
    </row>
    <row r="44" spans="2:69" s="296" customFormat="1" ht="15" customHeight="1" x14ac:dyDescent="0.25">
      <c r="B44" s="520" t="str">
        <f t="shared" si="8"/>
        <v>Ice Golem Tournament</v>
      </c>
      <c r="C44" s="520"/>
      <c r="D44" s="293">
        <f t="shared" si="11"/>
        <v>44306</v>
      </c>
      <c r="E44" s="293">
        <f t="shared" si="12"/>
        <v>44309</v>
      </c>
      <c r="F44" s="521"/>
      <c r="G44" s="521"/>
      <c r="H44" s="518" t="str">
        <f t="shared" si="9"/>
        <v/>
      </c>
      <c r="I44" s="518"/>
      <c r="J44" s="298" t="str">
        <f t="shared" si="10"/>
        <v/>
      </c>
      <c r="K44" s="294"/>
      <c r="L44" s="294"/>
      <c r="M44" s="294"/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5"/>
      <c r="AG44" s="295"/>
      <c r="AH44" s="295"/>
      <c r="AI44" s="295"/>
      <c r="AJ44" s="295"/>
      <c r="AK44" s="295"/>
      <c r="AS44" s="297" t="str">
        <f t="shared" si="4"/>
        <v/>
      </c>
      <c r="AT44" s="298" t="str">
        <f t="shared" si="5"/>
        <v/>
      </c>
      <c r="AU44" s="298" t="str">
        <f t="shared" si="6"/>
        <v/>
      </c>
      <c r="AV44" s="299" t="str">
        <f t="shared" si="7"/>
        <v/>
      </c>
    </row>
    <row r="45" spans="2:69" s="300" customFormat="1" ht="15" customHeight="1" x14ac:dyDescent="0.25">
      <c r="B45" s="520" t="str">
        <f t="shared" si="8"/>
        <v>Artifact Enhancement Event II</v>
      </c>
      <c r="C45" s="520"/>
      <c r="D45" s="293">
        <f t="shared" si="11"/>
        <v>44306</v>
      </c>
      <c r="E45" s="293">
        <f t="shared" si="12"/>
        <v>44310</v>
      </c>
      <c r="F45" s="521"/>
      <c r="G45" s="521"/>
      <c r="H45" s="518" t="str">
        <f t="shared" si="9"/>
        <v/>
      </c>
      <c r="I45" s="518"/>
      <c r="J45" s="298" t="str">
        <f t="shared" si="10"/>
        <v/>
      </c>
      <c r="K45" s="294"/>
      <c r="L45" s="294"/>
      <c r="M45" s="294"/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5"/>
      <c r="AG45" s="295"/>
      <c r="AH45" s="295"/>
      <c r="AI45" s="295"/>
      <c r="AJ45" s="295"/>
      <c r="AK45" s="295"/>
      <c r="AS45" s="297" t="str">
        <f t="shared" si="4"/>
        <v/>
      </c>
      <c r="AT45" s="298" t="str">
        <f t="shared" si="5"/>
        <v/>
      </c>
      <c r="AU45" s="298" t="str">
        <f t="shared" si="6"/>
        <v/>
      </c>
      <c r="AV45" s="299" t="str">
        <f t="shared" si="7"/>
        <v/>
      </c>
    </row>
    <row r="46" spans="2:69" s="300" customFormat="1" ht="15" customHeight="1" x14ac:dyDescent="0.25">
      <c r="B46" s="520" t="str">
        <f t="shared" si="8"/>
        <v>Classic Arena Takedown Tournament II</v>
      </c>
      <c r="C46" s="520"/>
      <c r="D46" s="293">
        <f t="shared" si="11"/>
        <v>44309</v>
      </c>
      <c r="E46" s="293">
        <f t="shared" si="12"/>
        <v>44311</v>
      </c>
      <c r="F46" s="521"/>
      <c r="G46" s="521"/>
      <c r="H46" s="518" t="str">
        <f t="shared" si="9"/>
        <v/>
      </c>
      <c r="I46" s="518"/>
      <c r="J46" s="298" t="str">
        <f t="shared" si="10"/>
        <v/>
      </c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5"/>
      <c r="AG46" s="295"/>
      <c r="AH46" s="295"/>
      <c r="AI46" s="295"/>
      <c r="AJ46" s="295"/>
      <c r="AK46" s="295"/>
      <c r="AS46" s="297" t="str">
        <f t="shared" si="4"/>
        <v/>
      </c>
      <c r="AT46" s="298" t="str">
        <f t="shared" si="5"/>
        <v/>
      </c>
      <c r="AU46" s="298" t="str">
        <f t="shared" si="6"/>
        <v/>
      </c>
      <c r="AV46" s="299" t="str">
        <f t="shared" si="7"/>
        <v/>
      </c>
    </row>
    <row r="47" spans="2:69" s="301" customFormat="1" ht="15" customHeight="1" x14ac:dyDescent="0.2">
      <c r="B47" s="520" t="str">
        <f t="shared" si="8"/>
        <v>Summon Rush Event</v>
      </c>
      <c r="C47" s="520"/>
      <c r="D47" s="293">
        <f t="shared" si="11"/>
        <v>44309</v>
      </c>
      <c r="E47" s="293">
        <f t="shared" si="12"/>
        <v>44312</v>
      </c>
      <c r="F47" s="521"/>
      <c r="G47" s="521"/>
      <c r="H47" s="518" t="str">
        <f t="shared" si="9"/>
        <v/>
      </c>
      <c r="I47" s="518"/>
      <c r="J47" s="298" t="str">
        <f t="shared" si="10"/>
        <v/>
      </c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5"/>
      <c r="AG47" s="295"/>
      <c r="AH47" s="295"/>
      <c r="AI47" s="295"/>
      <c r="AJ47" s="295"/>
      <c r="AK47" s="295"/>
      <c r="AS47" s="297" t="str">
        <f t="shared" si="4"/>
        <v/>
      </c>
      <c r="AT47" s="298" t="str">
        <f t="shared" si="5"/>
        <v/>
      </c>
      <c r="AU47" s="298" t="str">
        <f t="shared" si="6"/>
        <v/>
      </c>
      <c r="AV47" s="299" t="str">
        <f t="shared" si="7"/>
        <v/>
      </c>
    </row>
    <row r="48" spans="2:69" s="301" customFormat="1" ht="15" customHeight="1" x14ac:dyDescent="0.2">
      <c r="B48" s="520" t="str">
        <f t="shared" si="8"/>
        <v>Spider Tournament</v>
      </c>
      <c r="C48" s="520"/>
      <c r="D48" s="293">
        <f t="shared" si="11"/>
        <v>44310</v>
      </c>
      <c r="E48" s="293">
        <f t="shared" si="12"/>
        <v>44313</v>
      </c>
      <c r="F48" s="521"/>
      <c r="G48" s="521"/>
      <c r="H48" s="518" t="str">
        <f t="shared" si="9"/>
        <v/>
      </c>
      <c r="I48" s="518"/>
      <c r="J48" s="298" t="str">
        <f t="shared" si="10"/>
        <v/>
      </c>
      <c r="K48" s="294"/>
      <c r="L48" s="29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5"/>
      <c r="AG48" s="295"/>
      <c r="AH48" s="295"/>
      <c r="AI48" s="295"/>
      <c r="AJ48" s="295"/>
      <c r="AK48" s="295"/>
      <c r="AS48" s="297" t="str">
        <f t="shared" si="4"/>
        <v/>
      </c>
      <c r="AT48" s="298" t="str">
        <f t="shared" si="5"/>
        <v/>
      </c>
      <c r="AU48" s="298" t="str">
        <f t="shared" si="6"/>
        <v/>
      </c>
      <c r="AV48" s="299" t="str">
        <f t="shared" si="7"/>
        <v/>
      </c>
    </row>
    <row r="49" spans="2:48" s="301" customFormat="1" ht="15" customHeight="1" x14ac:dyDescent="0.2">
      <c r="B49" s="520" t="str">
        <f t="shared" si="8"/>
        <v>Dungeon Divers Event II</v>
      </c>
      <c r="C49" s="520"/>
      <c r="D49" s="293">
        <f t="shared" si="11"/>
        <v>44310</v>
      </c>
      <c r="E49" s="293">
        <f t="shared" si="12"/>
        <v>44315</v>
      </c>
      <c r="F49" s="521"/>
      <c r="G49" s="521"/>
      <c r="H49" s="518" t="str">
        <f t="shared" si="9"/>
        <v/>
      </c>
      <c r="I49" s="518"/>
      <c r="J49" s="298" t="str">
        <f t="shared" si="10"/>
        <v/>
      </c>
      <c r="K49" s="294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5"/>
      <c r="AG49" s="295"/>
      <c r="AH49" s="295"/>
      <c r="AI49" s="295"/>
      <c r="AJ49" s="295"/>
      <c r="AK49" s="295"/>
      <c r="AS49" s="297" t="str">
        <f t="shared" si="4"/>
        <v/>
      </c>
      <c r="AT49" s="298" t="str">
        <f t="shared" si="5"/>
        <v/>
      </c>
      <c r="AU49" s="298" t="str">
        <f t="shared" si="6"/>
        <v/>
      </c>
      <c r="AV49" s="299" t="str">
        <f t="shared" si="7"/>
        <v/>
      </c>
    </row>
    <row r="50" spans="2:48" s="301" customFormat="1" ht="15" customHeight="1" x14ac:dyDescent="0.2">
      <c r="B50" s="520" t="str">
        <f t="shared" si="8"/>
        <v>Artifact Enhancement Event III</v>
      </c>
      <c r="C50" s="520"/>
      <c r="D50" s="293">
        <f t="shared" si="11"/>
        <v>44311</v>
      </c>
      <c r="E50" s="293">
        <f t="shared" si="12"/>
        <v>44314</v>
      </c>
      <c r="F50" s="521"/>
      <c r="G50" s="521"/>
      <c r="H50" s="518" t="str">
        <f t="shared" si="9"/>
        <v/>
      </c>
      <c r="I50" s="518"/>
      <c r="J50" s="298" t="str">
        <f t="shared" si="10"/>
        <v/>
      </c>
      <c r="K50" s="294"/>
      <c r="L50" s="294"/>
      <c r="M50" s="294"/>
      <c r="N50" s="294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5"/>
      <c r="AG50" s="295"/>
      <c r="AH50" s="295"/>
      <c r="AI50" s="295"/>
      <c r="AJ50" s="295"/>
      <c r="AK50" s="295"/>
      <c r="AS50" s="297" t="str">
        <f t="shared" si="4"/>
        <v/>
      </c>
      <c r="AT50" s="298" t="str">
        <f t="shared" si="5"/>
        <v/>
      </c>
      <c r="AU50" s="298" t="str">
        <f t="shared" si="6"/>
        <v/>
      </c>
      <c r="AV50" s="299" t="str">
        <f t="shared" si="7"/>
        <v/>
      </c>
    </row>
    <row r="51" spans="2:48" s="301" customFormat="1" ht="15" customHeight="1" x14ac:dyDescent="0.2">
      <c r="B51" s="520" t="str">
        <f t="shared" si="8"/>
        <v>Champion Training Tournament</v>
      </c>
      <c r="C51" s="520"/>
      <c r="D51" s="293">
        <f t="shared" si="11"/>
        <v>44311</v>
      </c>
      <c r="E51" s="293">
        <f t="shared" si="12"/>
        <v>44314</v>
      </c>
      <c r="F51" s="521"/>
      <c r="G51" s="521"/>
      <c r="H51" s="518" t="str">
        <f t="shared" ref="H51:H58" si="13">IF(F51=0,"",IF(F51/MAX(G26,K26,V26,AG26)&gt;1,1,F51/MAX(G26,K26,V26,AG26)))</f>
        <v/>
      </c>
      <c r="I51" s="518"/>
      <c r="J51" s="298" t="str">
        <f t="shared" si="10"/>
        <v/>
      </c>
      <c r="K51" s="294"/>
      <c r="L51" s="29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5"/>
      <c r="AG51" s="295"/>
      <c r="AH51" s="295"/>
      <c r="AI51" s="295"/>
      <c r="AJ51" s="295"/>
      <c r="AK51" s="295"/>
      <c r="AS51" s="297" t="str">
        <f t="shared" si="4"/>
        <v/>
      </c>
      <c r="AT51" s="298" t="str">
        <f t="shared" si="5"/>
        <v/>
      </c>
      <c r="AU51" s="298" t="str">
        <f t="shared" si="6"/>
        <v/>
      </c>
      <c r="AV51" s="299" t="str">
        <f t="shared" si="7"/>
        <v/>
      </c>
    </row>
    <row r="52" spans="2:48" s="301" customFormat="1" ht="15" hidden="1" customHeight="1" x14ac:dyDescent="0.2">
      <c r="B52" s="520" t="str">
        <f t="shared" si="8"/>
        <v/>
      </c>
      <c r="C52" s="520"/>
      <c r="D52" s="293" t="str">
        <f t="shared" si="11"/>
        <v/>
      </c>
      <c r="E52" s="293" t="str">
        <f t="shared" si="12"/>
        <v/>
      </c>
      <c r="F52" s="521"/>
      <c r="G52" s="521"/>
      <c r="H52" s="518" t="str">
        <f t="shared" si="13"/>
        <v/>
      </c>
      <c r="I52" s="518"/>
      <c r="J52" s="298" t="str">
        <f t="shared" si="10"/>
        <v/>
      </c>
      <c r="K52" s="294"/>
      <c r="L52" s="294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5"/>
      <c r="AG52" s="295"/>
      <c r="AH52" s="295"/>
      <c r="AI52" s="295"/>
      <c r="AJ52" s="295"/>
      <c r="AK52" s="295"/>
      <c r="AS52" s="297" t="str">
        <f t="shared" si="4"/>
        <v/>
      </c>
      <c r="AT52" s="298" t="str">
        <f t="shared" si="5"/>
        <v/>
      </c>
      <c r="AU52" s="298" t="str">
        <f t="shared" si="6"/>
        <v/>
      </c>
      <c r="AV52" s="299" t="str">
        <f t="shared" si="7"/>
        <v/>
      </c>
    </row>
    <row r="53" spans="2:48" s="301" customFormat="1" ht="15" hidden="1" customHeight="1" x14ac:dyDescent="0.2">
      <c r="B53" s="520" t="str">
        <f t="shared" si="8"/>
        <v/>
      </c>
      <c r="C53" s="520"/>
      <c r="D53" s="293" t="str">
        <f t="shared" si="11"/>
        <v/>
      </c>
      <c r="E53" s="293" t="str">
        <f t="shared" si="12"/>
        <v/>
      </c>
      <c r="F53" s="521"/>
      <c r="G53" s="521"/>
      <c r="H53" s="518" t="str">
        <f t="shared" si="13"/>
        <v/>
      </c>
      <c r="I53" s="518"/>
      <c r="J53" s="298" t="str">
        <f t="shared" si="10"/>
        <v/>
      </c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5"/>
      <c r="AG53" s="295"/>
      <c r="AH53" s="295"/>
      <c r="AI53" s="295"/>
      <c r="AJ53" s="295"/>
      <c r="AK53" s="295"/>
      <c r="AS53" s="297" t="str">
        <f t="shared" si="4"/>
        <v/>
      </c>
      <c r="AT53" s="298" t="str">
        <f t="shared" si="5"/>
        <v/>
      </c>
      <c r="AU53" s="298" t="str">
        <f t="shared" si="6"/>
        <v/>
      </c>
      <c r="AV53" s="299" t="str">
        <f t="shared" si="7"/>
        <v/>
      </c>
    </row>
    <row r="54" spans="2:48" s="301" customFormat="1" ht="15" hidden="1" customHeight="1" x14ac:dyDescent="0.2">
      <c r="B54" s="520" t="str">
        <f t="shared" si="8"/>
        <v/>
      </c>
      <c r="C54" s="520"/>
      <c r="D54" s="293" t="str">
        <f t="shared" si="11"/>
        <v/>
      </c>
      <c r="E54" s="293" t="str">
        <f t="shared" si="12"/>
        <v/>
      </c>
      <c r="F54" s="521"/>
      <c r="G54" s="521"/>
      <c r="H54" s="518" t="str">
        <f t="shared" si="13"/>
        <v/>
      </c>
      <c r="I54" s="518"/>
      <c r="J54" s="298" t="str">
        <f t="shared" si="10"/>
        <v/>
      </c>
      <c r="K54" s="294"/>
      <c r="L54" s="294"/>
      <c r="M54" s="294"/>
      <c r="N54" s="294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5"/>
      <c r="AG54" s="295"/>
      <c r="AH54" s="295"/>
      <c r="AI54" s="295"/>
      <c r="AJ54" s="295"/>
      <c r="AK54" s="295"/>
      <c r="AS54" s="297" t="str">
        <f t="shared" si="4"/>
        <v/>
      </c>
      <c r="AT54" s="298" t="str">
        <f t="shared" si="5"/>
        <v/>
      </c>
      <c r="AU54" s="298" t="str">
        <f t="shared" si="6"/>
        <v/>
      </c>
      <c r="AV54" s="299" t="str">
        <f t="shared" si="7"/>
        <v/>
      </c>
    </row>
    <row r="55" spans="2:48" s="301" customFormat="1" ht="15" hidden="1" customHeight="1" x14ac:dyDescent="0.2">
      <c r="B55" s="520" t="str">
        <f t="shared" si="8"/>
        <v/>
      </c>
      <c r="C55" s="520"/>
      <c r="D55" s="293" t="str">
        <f t="shared" si="11"/>
        <v/>
      </c>
      <c r="E55" s="293" t="str">
        <f t="shared" si="12"/>
        <v/>
      </c>
      <c r="F55" s="521"/>
      <c r="G55" s="521"/>
      <c r="H55" s="518" t="str">
        <f t="shared" si="13"/>
        <v/>
      </c>
      <c r="I55" s="518"/>
      <c r="J55" s="298" t="str">
        <f t="shared" si="10"/>
        <v/>
      </c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5"/>
      <c r="AG55" s="295"/>
      <c r="AH55" s="295"/>
      <c r="AI55" s="295"/>
      <c r="AJ55" s="295"/>
      <c r="AK55" s="295"/>
      <c r="AS55" s="297" t="str">
        <f t="shared" si="4"/>
        <v/>
      </c>
      <c r="AT55" s="298" t="str">
        <f t="shared" si="5"/>
        <v/>
      </c>
      <c r="AU55" s="298" t="str">
        <f t="shared" si="6"/>
        <v/>
      </c>
      <c r="AV55" s="299" t="str">
        <f t="shared" si="7"/>
        <v/>
      </c>
    </row>
    <row r="56" spans="2:48" s="301" customFormat="1" ht="15" hidden="1" customHeight="1" x14ac:dyDescent="0.2">
      <c r="B56" s="520" t="str">
        <f t="shared" si="8"/>
        <v/>
      </c>
      <c r="C56" s="520"/>
      <c r="D56" s="293" t="str">
        <f t="shared" si="11"/>
        <v/>
      </c>
      <c r="E56" s="293" t="str">
        <f t="shared" si="12"/>
        <v/>
      </c>
      <c r="F56" s="521"/>
      <c r="G56" s="521"/>
      <c r="H56" s="518" t="str">
        <f t="shared" si="13"/>
        <v/>
      </c>
      <c r="I56" s="518"/>
      <c r="J56" s="298" t="str">
        <f t="shared" si="10"/>
        <v/>
      </c>
      <c r="K56" s="294"/>
      <c r="L56" s="294"/>
      <c r="M56" s="294"/>
      <c r="N56" s="294"/>
      <c r="O56" s="294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5"/>
      <c r="AG56" s="295"/>
      <c r="AH56" s="295"/>
      <c r="AI56" s="295"/>
      <c r="AJ56" s="295"/>
      <c r="AK56" s="295"/>
      <c r="AS56" s="297" t="str">
        <f t="shared" si="4"/>
        <v/>
      </c>
      <c r="AT56" s="298" t="str">
        <f t="shared" si="5"/>
        <v/>
      </c>
      <c r="AU56" s="298" t="str">
        <f t="shared" si="6"/>
        <v/>
      </c>
      <c r="AV56" s="299" t="str">
        <f t="shared" si="7"/>
        <v/>
      </c>
    </row>
    <row r="57" spans="2:48" s="301" customFormat="1" ht="15" hidden="1" customHeight="1" x14ac:dyDescent="0.2">
      <c r="B57" s="520" t="str">
        <f t="shared" si="8"/>
        <v/>
      </c>
      <c r="C57" s="520"/>
      <c r="D57" s="293" t="str">
        <f t="shared" si="11"/>
        <v/>
      </c>
      <c r="E57" s="293" t="str">
        <f t="shared" si="12"/>
        <v/>
      </c>
      <c r="F57" s="521"/>
      <c r="G57" s="521"/>
      <c r="H57" s="518" t="str">
        <f t="shared" si="13"/>
        <v/>
      </c>
      <c r="I57" s="518"/>
      <c r="J57" s="298" t="str">
        <f t="shared" si="10"/>
        <v/>
      </c>
      <c r="K57" s="294"/>
      <c r="L57" s="294"/>
      <c r="M57" s="294"/>
      <c r="N57" s="294"/>
      <c r="O57" s="294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5"/>
      <c r="AG57" s="295"/>
      <c r="AH57" s="295"/>
      <c r="AI57" s="295"/>
      <c r="AJ57" s="295"/>
      <c r="AK57" s="295"/>
      <c r="AS57" s="297" t="str">
        <f t="shared" si="4"/>
        <v/>
      </c>
      <c r="AT57" s="298" t="str">
        <f t="shared" si="5"/>
        <v/>
      </c>
      <c r="AU57" s="298" t="str">
        <f t="shared" si="6"/>
        <v/>
      </c>
      <c r="AV57" s="299" t="str">
        <f t="shared" si="7"/>
        <v/>
      </c>
    </row>
    <row r="58" spans="2:48" s="301" customFormat="1" ht="15" hidden="1" customHeight="1" thickBot="1" x14ac:dyDescent="0.25">
      <c r="B58" s="520" t="str">
        <f t="shared" si="8"/>
        <v/>
      </c>
      <c r="C58" s="520"/>
      <c r="D58" s="293" t="str">
        <f t="shared" si="11"/>
        <v/>
      </c>
      <c r="E58" s="293" t="str">
        <f t="shared" si="12"/>
        <v/>
      </c>
      <c r="F58" s="521"/>
      <c r="G58" s="521"/>
      <c r="H58" s="518" t="str">
        <f t="shared" si="13"/>
        <v/>
      </c>
      <c r="I58" s="518"/>
      <c r="J58" s="298" t="str">
        <f t="shared" si="10"/>
        <v/>
      </c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5"/>
      <c r="AG58" s="295"/>
      <c r="AH58" s="295"/>
      <c r="AI58" s="295"/>
      <c r="AJ58" s="295"/>
      <c r="AK58" s="295"/>
      <c r="AS58" s="302" t="str">
        <f t="shared" si="4"/>
        <v/>
      </c>
      <c r="AT58" s="303" t="str">
        <f t="shared" si="5"/>
        <v/>
      </c>
      <c r="AU58" s="303" t="str">
        <f t="shared" si="6"/>
        <v/>
      </c>
      <c r="AV58" s="304" t="str">
        <f t="shared" si="7"/>
        <v/>
      </c>
    </row>
    <row r="59" spans="2:48" s="301" customFormat="1" x14ac:dyDescent="0.2">
      <c r="B59" s="305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  <c r="Z59" s="306"/>
      <c r="AA59" s="306"/>
      <c r="AB59" s="306"/>
      <c r="AC59" s="306"/>
      <c r="AD59" s="306"/>
    </row>
    <row r="60" spans="2:48" s="301" customFormat="1" x14ac:dyDescent="0.2">
      <c r="B60" s="305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  <c r="Z60" s="306"/>
      <c r="AA60" s="306"/>
      <c r="AB60" s="306"/>
      <c r="AC60" s="306"/>
      <c r="AD60" s="306"/>
    </row>
    <row r="61" spans="2:48" s="308" customFormat="1" x14ac:dyDescent="0.2">
      <c r="B61" s="307"/>
      <c r="K61" s="306"/>
      <c r="L61" s="306"/>
      <c r="M61" s="306"/>
      <c r="N61" s="306"/>
      <c r="O61" s="306"/>
      <c r="P61" s="306"/>
      <c r="Q61" s="306"/>
      <c r="R61" s="306"/>
      <c r="S61" s="306"/>
      <c r="T61" s="306"/>
      <c r="U61" s="306"/>
      <c r="V61" s="306"/>
      <c r="W61" s="306"/>
      <c r="X61" s="306"/>
      <c r="Y61" s="306"/>
      <c r="Z61" s="306"/>
      <c r="AA61" s="306"/>
      <c r="AB61" s="306"/>
      <c r="AC61" s="306"/>
      <c r="AD61" s="306"/>
    </row>
    <row r="62" spans="2:48" s="308" customFormat="1" x14ac:dyDescent="0.2">
      <c r="K62" s="306"/>
      <c r="L62" s="306"/>
      <c r="M62" s="306"/>
      <c r="N62" s="306"/>
      <c r="O62" s="306"/>
      <c r="P62" s="306"/>
      <c r="Q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</row>
    <row r="63" spans="2:48" s="308" customFormat="1" x14ac:dyDescent="0.2"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</row>
    <row r="64" spans="2:48" s="308" customFormat="1" x14ac:dyDescent="0.2">
      <c r="K64" s="306"/>
      <c r="L64" s="306"/>
      <c r="M64" s="306"/>
      <c r="N64" s="306"/>
      <c r="O64" s="306"/>
      <c r="P64" s="306"/>
      <c r="Q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</row>
    <row r="65" spans="11:30" s="308" customFormat="1" x14ac:dyDescent="0.2">
      <c r="K65" s="306"/>
      <c r="L65" s="306"/>
      <c r="M65" s="306"/>
      <c r="N65" s="306"/>
      <c r="O65" s="306"/>
      <c r="P65" s="306"/>
      <c r="Q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</row>
    <row r="66" spans="11:30" s="308" customFormat="1" x14ac:dyDescent="0.2">
      <c r="K66" s="306"/>
      <c r="L66" s="306"/>
      <c r="M66" s="306"/>
      <c r="N66" s="306"/>
      <c r="O66" s="306"/>
      <c r="P66" s="306"/>
      <c r="Q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</row>
    <row r="67" spans="11:30" x14ac:dyDescent="0.2">
      <c r="K67" s="306"/>
      <c r="L67" s="306"/>
      <c r="M67" s="306"/>
      <c r="N67" s="306"/>
      <c r="O67" s="306"/>
      <c r="P67" s="306"/>
      <c r="Q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</row>
    <row r="68" spans="11:30" x14ac:dyDescent="0.2">
      <c r="K68" s="306"/>
      <c r="L68" s="306"/>
      <c r="M68" s="306"/>
      <c r="N68" s="306"/>
      <c r="O68" s="306"/>
      <c r="P68" s="306"/>
      <c r="Q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</row>
    <row r="69" spans="11:30" x14ac:dyDescent="0.2">
      <c r="K69" s="306"/>
      <c r="L69" s="306"/>
      <c r="M69" s="306"/>
      <c r="N69" s="306"/>
      <c r="O69" s="306"/>
      <c r="P69" s="306"/>
      <c r="Q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</row>
    <row r="70" spans="11:30" x14ac:dyDescent="0.2">
      <c r="K70" s="306"/>
      <c r="L70" s="306"/>
      <c r="M70" s="306"/>
      <c r="N70" s="306"/>
      <c r="O70" s="306"/>
      <c r="P70" s="306"/>
      <c r="Q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</row>
    <row r="71" spans="11:30" x14ac:dyDescent="0.2">
      <c r="K71" s="306"/>
      <c r="L71" s="306"/>
      <c r="M71" s="306"/>
      <c r="N71" s="306"/>
      <c r="O71" s="306"/>
      <c r="P71" s="306"/>
      <c r="Q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</row>
    <row r="72" spans="11:30" x14ac:dyDescent="0.2"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</row>
    <row r="73" spans="11:30" x14ac:dyDescent="0.2">
      <c r="K73" s="306"/>
      <c r="L73" s="306"/>
      <c r="M73" s="306"/>
      <c r="N73" s="306"/>
      <c r="O73" s="306"/>
      <c r="P73" s="306"/>
      <c r="Q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</row>
    <row r="74" spans="11:30" x14ac:dyDescent="0.2">
      <c r="K74" s="306"/>
      <c r="L74" s="306"/>
      <c r="M74" s="306"/>
      <c r="N74" s="306"/>
      <c r="O74" s="306"/>
      <c r="P74" s="306"/>
      <c r="Q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</row>
    <row r="75" spans="11:30" x14ac:dyDescent="0.2">
      <c r="K75" s="306"/>
      <c r="L75" s="306"/>
      <c r="M75" s="306"/>
      <c r="N75" s="306"/>
      <c r="O75" s="306"/>
      <c r="P75" s="306"/>
      <c r="Q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</row>
    <row r="76" spans="11:30" x14ac:dyDescent="0.2">
      <c r="K76" s="306"/>
      <c r="L76" s="306"/>
      <c r="M76" s="306"/>
      <c r="N76" s="306"/>
      <c r="O76" s="306"/>
      <c r="P76" s="306"/>
      <c r="Q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</row>
    <row r="77" spans="11:30" x14ac:dyDescent="0.2">
      <c r="K77" s="306"/>
      <c r="L77" s="306"/>
      <c r="M77" s="306"/>
      <c r="N77" s="306"/>
      <c r="O77" s="306"/>
      <c r="P77" s="306"/>
      <c r="Q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</row>
    <row r="78" spans="11:30" x14ac:dyDescent="0.2">
      <c r="K78" s="306"/>
      <c r="L78" s="306"/>
      <c r="M78" s="306"/>
      <c r="N78" s="306"/>
      <c r="O78" s="306"/>
      <c r="P78" s="306"/>
      <c r="Q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</row>
    <row r="79" spans="11:30" x14ac:dyDescent="0.2">
      <c r="K79" s="306"/>
      <c r="L79" s="306"/>
      <c r="M79" s="306"/>
      <c r="N79" s="306"/>
      <c r="O79" s="306"/>
      <c r="P79" s="306"/>
      <c r="Q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</row>
    <row r="80" spans="11:30" x14ac:dyDescent="0.2">
      <c r="K80" s="306"/>
      <c r="L80" s="306"/>
      <c r="M80" s="306"/>
      <c r="N80" s="306"/>
      <c r="O80" s="306"/>
      <c r="P80" s="306"/>
      <c r="Q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</row>
    <row r="81" spans="11:30" x14ac:dyDescent="0.2">
      <c r="K81" s="306"/>
      <c r="L81" s="306"/>
      <c r="M81" s="306"/>
      <c r="N81" s="306"/>
      <c r="O81" s="306"/>
      <c r="P81" s="306"/>
      <c r="Q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</row>
    <row r="82" spans="11:30" x14ac:dyDescent="0.2">
      <c r="K82" s="306"/>
      <c r="L82" s="306"/>
      <c r="M82" s="306"/>
      <c r="N82" s="306"/>
      <c r="O82" s="306"/>
      <c r="P82" s="306"/>
      <c r="Q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</row>
    <row r="83" spans="11:30" x14ac:dyDescent="0.2">
      <c r="K83" s="306"/>
      <c r="L83" s="306"/>
      <c r="M83" s="306"/>
      <c r="N83" s="306"/>
      <c r="O83" s="306"/>
      <c r="P83" s="306"/>
      <c r="Q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</row>
    <row r="84" spans="11:30" x14ac:dyDescent="0.2">
      <c r="K84" s="306"/>
      <c r="L84" s="306"/>
      <c r="M84" s="306"/>
      <c r="N84" s="306"/>
      <c r="O84" s="306"/>
      <c r="P84" s="306"/>
      <c r="Q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</row>
    <row r="85" spans="11:30" x14ac:dyDescent="0.2">
      <c r="K85" s="306"/>
      <c r="L85" s="306"/>
      <c r="M85" s="306"/>
      <c r="N85" s="306"/>
      <c r="O85" s="306"/>
      <c r="P85" s="306"/>
      <c r="Q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</row>
    <row r="86" spans="11:30" x14ac:dyDescent="0.2">
      <c r="K86" s="306"/>
      <c r="L86" s="306"/>
      <c r="M86" s="306"/>
      <c r="N86" s="306"/>
      <c r="O86" s="306"/>
      <c r="P86" s="306"/>
      <c r="Q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</row>
    <row r="87" spans="11:30" x14ac:dyDescent="0.2"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</row>
    <row r="88" spans="11:30" x14ac:dyDescent="0.2">
      <c r="K88" s="306"/>
      <c r="L88" s="306"/>
      <c r="M88" s="306"/>
      <c r="N88" s="306"/>
      <c r="O88" s="306"/>
      <c r="P88" s="306"/>
      <c r="Q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</row>
    <row r="89" spans="11:30" x14ac:dyDescent="0.2">
      <c r="K89" s="306"/>
      <c r="L89" s="306"/>
      <c r="M89" s="306"/>
      <c r="N89" s="306"/>
      <c r="O89" s="306"/>
      <c r="P89" s="306"/>
      <c r="Q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</row>
    <row r="90" spans="11:30" x14ac:dyDescent="0.2">
      <c r="K90" s="306"/>
      <c r="L90" s="306"/>
      <c r="M90" s="306"/>
      <c r="N90" s="306"/>
      <c r="O90" s="306"/>
      <c r="P90" s="306"/>
      <c r="Q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</row>
    <row r="91" spans="11:30" x14ac:dyDescent="0.2">
      <c r="K91" s="306"/>
      <c r="L91" s="306"/>
      <c r="M91" s="306"/>
      <c r="N91" s="306"/>
      <c r="O91" s="306"/>
      <c r="P91" s="306"/>
      <c r="Q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</row>
    <row r="92" spans="11:30" x14ac:dyDescent="0.2">
      <c r="K92" s="306"/>
      <c r="L92" s="306"/>
      <c r="M92" s="306"/>
      <c r="N92" s="306"/>
      <c r="O92" s="306"/>
      <c r="P92" s="306"/>
      <c r="Q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</row>
    <row r="93" spans="11:30" x14ac:dyDescent="0.2"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</row>
    <row r="94" spans="11:30" x14ac:dyDescent="0.2">
      <c r="K94" s="306"/>
      <c r="L94" s="306"/>
      <c r="M94" s="306"/>
      <c r="N94" s="306"/>
      <c r="O94" s="306"/>
      <c r="P94" s="306"/>
      <c r="Q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</row>
    <row r="95" spans="11:30" x14ac:dyDescent="0.2">
      <c r="K95" s="306"/>
      <c r="L95" s="306"/>
      <c r="M95" s="306"/>
      <c r="N95" s="306"/>
      <c r="O95" s="306"/>
      <c r="P95" s="306"/>
      <c r="Q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</row>
    <row r="96" spans="11:30" x14ac:dyDescent="0.2">
      <c r="K96" s="306"/>
      <c r="L96" s="306"/>
      <c r="M96" s="306"/>
      <c r="N96" s="306"/>
      <c r="O96" s="306"/>
      <c r="P96" s="306"/>
      <c r="Q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</row>
    <row r="97" spans="11:94" x14ac:dyDescent="0.2">
      <c r="K97" s="306"/>
      <c r="L97" s="306"/>
      <c r="M97" s="306"/>
      <c r="N97" s="306"/>
      <c r="O97" s="306"/>
      <c r="P97" s="306"/>
      <c r="Q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</row>
    <row r="98" spans="11:94" x14ac:dyDescent="0.2">
      <c r="K98" s="306"/>
      <c r="L98" s="306"/>
      <c r="M98" s="306"/>
      <c r="N98" s="306"/>
      <c r="O98" s="306"/>
      <c r="P98" s="306"/>
      <c r="Q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</row>
    <row r="99" spans="11:94" x14ac:dyDescent="0.2">
      <c r="K99" s="306"/>
      <c r="L99" s="306"/>
      <c r="M99" s="306"/>
      <c r="N99" s="306"/>
      <c r="O99" s="306"/>
      <c r="P99" s="306"/>
      <c r="Q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</row>
    <row r="100" spans="11:94" ht="31.5" x14ac:dyDescent="0.25">
      <c r="K100" s="306"/>
      <c r="L100" s="306"/>
      <c r="M100" s="306"/>
      <c r="N100" s="306"/>
      <c r="O100" s="306"/>
      <c r="P100" s="306"/>
      <c r="Q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R100" s="309"/>
      <c r="AS100" s="506" t="s">
        <v>420</v>
      </c>
      <c r="AT100" s="506"/>
      <c r="AU100" s="506"/>
      <c r="AV100" s="506"/>
      <c r="AW100" s="506"/>
      <c r="AX100" s="506"/>
      <c r="AY100" s="506"/>
      <c r="AZ100" s="506"/>
      <c r="BA100" s="506"/>
      <c r="BB100" s="506"/>
      <c r="BC100" s="506"/>
      <c r="BD100" s="506"/>
      <c r="BE100" s="506"/>
      <c r="BF100" s="506"/>
      <c r="BG100" s="506"/>
      <c r="BH100" s="506"/>
      <c r="BI100" s="506"/>
      <c r="BJ100" s="506"/>
      <c r="BK100" s="506"/>
      <c r="BL100" s="310"/>
      <c r="BM100" s="309"/>
      <c r="BN100" s="309"/>
      <c r="BO100" s="309"/>
      <c r="BP100" s="309"/>
      <c r="BQ100" s="309"/>
      <c r="BR100" s="309"/>
      <c r="BS100" s="309"/>
      <c r="BT100" s="311" t="s">
        <v>459</v>
      </c>
      <c r="BU100" s="309"/>
      <c r="BV100" s="309"/>
      <c r="BW100" s="311" t="s">
        <v>460</v>
      </c>
      <c r="BX100" s="309"/>
      <c r="BY100" s="309"/>
      <c r="BZ100" s="309"/>
      <c r="CA100" s="309"/>
      <c r="CB100" s="309"/>
      <c r="CC100" s="309"/>
      <c r="CD100" s="309"/>
      <c r="CE100" s="309"/>
      <c r="CF100" s="309"/>
      <c r="CG100" s="309"/>
      <c r="CH100" s="309"/>
      <c r="CI100" s="309"/>
      <c r="CJ100" s="309"/>
      <c r="CK100" s="309"/>
      <c r="CL100" s="309"/>
      <c r="CM100" s="309"/>
      <c r="CN100" s="309"/>
      <c r="CO100" s="309"/>
      <c r="CP100" s="309"/>
    </row>
    <row r="101" spans="11:94" ht="15.75" hidden="1" thickBot="1" x14ac:dyDescent="0.3">
      <c r="K101" s="306"/>
      <c r="L101" s="306"/>
      <c r="M101" s="306"/>
      <c r="N101" s="306"/>
      <c r="O101" s="306"/>
      <c r="P101" s="306"/>
      <c r="Q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R101" s="309"/>
      <c r="AS101" s="309"/>
      <c r="AT101" s="309"/>
      <c r="AU101" s="309"/>
      <c r="AV101" s="309"/>
      <c r="AW101" s="309"/>
      <c r="AX101" s="309"/>
      <c r="AY101" s="309"/>
      <c r="AZ101" s="309"/>
      <c r="BA101" s="309"/>
      <c r="BB101" s="309"/>
      <c r="BC101" s="309"/>
      <c r="BD101" s="309"/>
      <c r="BE101" s="309"/>
      <c r="BF101" s="309"/>
      <c r="BG101" s="309"/>
      <c r="BH101" s="309"/>
      <c r="BI101" s="309"/>
      <c r="BJ101" s="309"/>
      <c r="BK101" s="309"/>
      <c r="BL101" s="309"/>
      <c r="BM101" s="312"/>
      <c r="BN101" s="313" t="s">
        <v>271</v>
      </c>
      <c r="BO101" s="314" t="s">
        <v>272</v>
      </c>
      <c r="BP101" s="314" t="s">
        <v>273</v>
      </c>
      <c r="BQ101" s="315" t="s">
        <v>273</v>
      </c>
      <c r="BR101" s="313" t="s">
        <v>274</v>
      </c>
      <c r="BS101" s="314" t="s">
        <v>275</v>
      </c>
      <c r="BT101" s="315" t="s">
        <v>276</v>
      </c>
      <c r="BU101" s="313" t="s">
        <v>277</v>
      </c>
      <c r="BV101" s="314" t="s">
        <v>278</v>
      </c>
      <c r="BW101" s="315" t="s">
        <v>279</v>
      </c>
      <c r="BX101" s="309"/>
      <c r="BY101" s="309"/>
      <c r="BZ101" s="309"/>
      <c r="CA101" s="309"/>
      <c r="CB101" s="309"/>
      <c r="CC101" s="309"/>
      <c r="CD101" s="309"/>
      <c r="CE101" s="309"/>
      <c r="CF101" s="309"/>
      <c r="CG101" s="309"/>
      <c r="CH101" s="309"/>
      <c r="CI101" s="309"/>
      <c r="CJ101" s="309"/>
      <c r="CK101" s="309"/>
      <c r="CL101" s="309"/>
      <c r="CM101" s="309"/>
      <c r="CN101" s="309"/>
      <c r="CO101" s="309"/>
      <c r="CP101" s="309"/>
    </row>
    <row r="102" spans="11:94" ht="21.75" hidden="1" thickBot="1" x14ac:dyDescent="0.25"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R102" s="316"/>
      <c r="AS102" s="516" t="s">
        <v>461</v>
      </c>
      <c r="AT102" s="517"/>
      <c r="AU102" s="507" t="s">
        <v>472</v>
      </c>
      <c r="AV102" s="508"/>
      <c r="AW102" s="508"/>
      <c r="AX102" s="508"/>
      <c r="AY102" s="508"/>
      <c r="AZ102" s="508"/>
      <c r="BA102" s="508"/>
      <c r="BB102" s="508"/>
      <c r="BC102" s="508"/>
      <c r="BD102" s="508"/>
      <c r="BE102" s="508"/>
      <c r="BF102" s="508"/>
      <c r="BG102" s="508"/>
      <c r="BH102" s="511" t="s">
        <v>264</v>
      </c>
      <c r="BI102" s="512"/>
      <c r="BJ102" s="316"/>
      <c r="BK102" s="316"/>
      <c r="BL102" s="316"/>
      <c r="BM102" s="331" t="s">
        <v>280</v>
      </c>
      <c r="BN102" s="317">
        <v>0</v>
      </c>
      <c r="BO102" s="318">
        <v>50</v>
      </c>
      <c r="BP102" s="318">
        <v>50</v>
      </c>
      <c r="BQ102" s="319">
        <v>60</v>
      </c>
      <c r="BR102" s="320">
        <v>1</v>
      </c>
      <c r="BS102" s="321">
        <v>50</v>
      </c>
      <c r="BT102" s="322">
        <f>SUM(INDEX(V_XP_5Star,BR102):INDEX(V_XP_5Star,BS102-1))</f>
        <v>963806</v>
      </c>
      <c r="BU102" s="320">
        <v>1</v>
      </c>
      <c r="BV102" s="321">
        <v>60</v>
      </c>
      <c r="BW102" s="322">
        <f>SUM(INDEX(V_XP_6Star,BU102):INDEX(V_XP_6Star,BV102-1))</f>
        <v>2010669</v>
      </c>
      <c r="BX102" s="316"/>
      <c r="BY102" s="316"/>
      <c r="BZ102" s="316"/>
      <c r="CA102" s="316"/>
      <c r="CB102" s="316"/>
      <c r="CC102" s="316"/>
      <c r="CD102" s="316"/>
      <c r="CE102" s="316"/>
      <c r="CF102" s="316"/>
      <c r="CG102" s="316"/>
      <c r="CH102" s="316"/>
      <c r="CI102" s="316"/>
      <c r="CJ102" s="316"/>
      <c r="CK102" s="316"/>
      <c r="CL102" s="316"/>
      <c r="CM102" s="316"/>
      <c r="CN102" s="316"/>
      <c r="CO102" s="316"/>
      <c r="CP102" s="316"/>
    </row>
    <row r="103" spans="11:94" ht="21.75" hidden="1" thickBot="1" x14ac:dyDescent="0.25">
      <c r="K103" s="306"/>
      <c r="L103" s="306"/>
      <c r="M103" s="306"/>
      <c r="N103" s="306"/>
      <c r="O103" s="306"/>
      <c r="P103" s="306"/>
      <c r="Q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R103" s="316"/>
      <c r="AS103" s="516"/>
      <c r="AT103" s="517"/>
      <c r="AU103" s="509"/>
      <c r="AV103" s="510"/>
      <c r="AW103" s="510"/>
      <c r="AX103" s="510"/>
      <c r="AY103" s="510"/>
      <c r="AZ103" s="510"/>
      <c r="BA103" s="510"/>
      <c r="BB103" s="510"/>
      <c r="BC103" s="510"/>
      <c r="BD103" s="510"/>
      <c r="BE103" s="510"/>
      <c r="BF103" s="510"/>
      <c r="BG103" s="510"/>
      <c r="BH103" s="513" t="s">
        <v>267</v>
      </c>
      <c r="BI103" s="514"/>
      <c r="BJ103" s="316"/>
      <c r="BK103" s="316"/>
      <c r="BL103" s="316"/>
      <c r="BM103" s="335" t="s">
        <v>281</v>
      </c>
      <c r="BN103" s="323">
        <f>IF(AU103="✦✦✦✦✦",5,IF(AU103="✦✦✦✦✧",4,IF(AU103="✦✦✦✧✧",3,IF(AU103="✦✦✧✧✧",2,IF(AU103="✦✧✧✧✧",1,0)))))</f>
        <v>0</v>
      </c>
      <c r="BO103" s="324">
        <v>6</v>
      </c>
      <c r="BP103" s="324">
        <f>BO103-BN103</f>
        <v>6</v>
      </c>
      <c r="BQ103" s="325" t="str">
        <f>BH103</f>
        <v>Magic</v>
      </c>
      <c r="BR103" s="316"/>
      <c r="BS103" s="316"/>
      <c r="BT103" s="316"/>
      <c r="BU103" s="316"/>
      <c r="BV103" s="316"/>
      <c r="BW103" s="316"/>
      <c r="BX103" s="316"/>
      <c r="BY103" s="316"/>
      <c r="BZ103" s="316"/>
      <c r="CA103" s="316"/>
      <c r="CB103" s="316"/>
      <c r="CC103" s="316"/>
      <c r="CD103" s="316"/>
      <c r="CE103" s="316"/>
      <c r="CF103" s="316"/>
      <c r="CG103" s="316"/>
      <c r="CH103" s="316"/>
      <c r="CI103" s="316"/>
      <c r="CJ103" s="316"/>
      <c r="CK103" s="316"/>
      <c r="CL103" s="316"/>
      <c r="CM103" s="316"/>
      <c r="CN103" s="316"/>
      <c r="CO103" s="316"/>
      <c r="CP103" s="316"/>
    </row>
    <row r="104" spans="11:94" ht="32.25" hidden="1" thickBot="1" x14ac:dyDescent="0.3">
      <c r="K104" s="306"/>
      <c r="L104" s="306"/>
      <c r="M104" s="306"/>
      <c r="N104" s="306"/>
      <c r="O104" s="306"/>
      <c r="P104" s="306"/>
      <c r="Q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R104" s="326">
        <f>IF(AS104=1,IF(AX104=1,IF(BC104=1,IF(BH104=1,1,0),0),0),0)</f>
        <v>0</v>
      </c>
      <c r="AS104" s="515">
        <f>IF(AU107="50/50",IF(AU108="✦✦✦✦✦",1,0),0)</f>
        <v>0</v>
      </c>
      <c r="AT104" s="515"/>
      <c r="AU104" s="515"/>
      <c r="AV104" s="515"/>
      <c r="AW104" s="309"/>
      <c r="AX104" s="515">
        <f>IF(AZ107="50/50",IF(AZ108="✦✦✦✦✦",1,0),0)</f>
        <v>0</v>
      </c>
      <c r="AY104" s="515"/>
      <c r="AZ104" s="515"/>
      <c r="BA104" s="515"/>
      <c r="BB104" s="309"/>
      <c r="BC104" s="515">
        <f>IF(BE107="50/50",IF(BE108="✦✦✦✦✦",1,0),0)</f>
        <v>0</v>
      </c>
      <c r="BD104" s="515"/>
      <c r="BE104" s="515"/>
      <c r="BF104" s="515"/>
      <c r="BG104" s="309"/>
      <c r="BH104" s="515">
        <f>IF(BJ107="50/50",IF(BJ108="✦✦✦✦✦",1,0),0)</f>
        <v>0</v>
      </c>
      <c r="BI104" s="515"/>
      <c r="BJ104" s="515"/>
      <c r="BK104" s="515"/>
      <c r="BL104" s="309"/>
      <c r="BM104" s="309"/>
      <c r="BN104" s="309"/>
      <c r="BO104" s="309"/>
      <c r="BP104" s="309"/>
      <c r="BQ104" s="309"/>
      <c r="BR104" s="309"/>
      <c r="BS104" s="309"/>
      <c r="BT104" s="309"/>
      <c r="BU104" s="309"/>
      <c r="BV104" s="309"/>
      <c r="BW104" s="309"/>
      <c r="BX104" s="309"/>
      <c r="BY104" s="309"/>
      <c r="BZ104" s="309"/>
      <c r="CA104" s="309"/>
      <c r="CB104" s="309"/>
      <c r="CC104" s="309"/>
      <c r="CD104" s="309"/>
      <c r="CE104" s="309"/>
      <c r="CF104" s="309"/>
      <c r="CG104" s="309"/>
      <c r="CH104" s="309"/>
      <c r="CI104" s="309"/>
      <c r="CJ104" s="309"/>
      <c r="CK104" s="309"/>
      <c r="CL104" s="309"/>
      <c r="CM104" s="309"/>
      <c r="CN104" s="309"/>
      <c r="CO104" s="309"/>
      <c r="CP104" s="309"/>
    </row>
    <row r="105" spans="11:94" ht="32.25" hidden="1" customHeight="1" thickBot="1" x14ac:dyDescent="0.25">
      <c r="K105" s="306"/>
      <c r="L105" s="306"/>
      <c r="M105" s="306"/>
      <c r="N105" s="306"/>
      <c r="O105" s="306"/>
      <c r="P105" s="306"/>
      <c r="Q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R105" s="316"/>
      <c r="AS105" s="487" t="s">
        <v>427</v>
      </c>
      <c r="AT105" s="488"/>
      <c r="AU105" s="488"/>
      <c r="AV105" s="489"/>
      <c r="AW105" s="327"/>
      <c r="AX105" s="487" t="s">
        <v>468</v>
      </c>
      <c r="AY105" s="488"/>
      <c r="AZ105" s="488"/>
      <c r="BA105" s="489"/>
      <c r="BB105" s="327"/>
      <c r="BC105" s="487" t="s">
        <v>469</v>
      </c>
      <c r="BD105" s="488"/>
      <c r="BE105" s="488"/>
      <c r="BF105" s="489"/>
      <c r="BG105" s="327"/>
      <c r="BH105" s="487" t="s">
        <v>426</v>
      </c>
      <c r="BI105" s="488"/>
      <c r="BJ105" s="488"/>
      <c r="BK105" s="489"/>
      <c r="BL105" s="316"/>
      <c r="BM105" s="316"/>
      <c r="BN105" s="490" t="str">
        <f>HF_Epic_Champion1</f>
        <v>Fenshi</v>
      </c>
      <c r="BO105" s="491"/>
      <c r="BP105" s="491"/>
      <c r="BQ105" s="492"/>
      <c r="BR105" s="425" t="str">
        <f>HF_Epic_Champion2</f>
        <v>Giscard the Sigiled</v>
      </c>
      <c r="BS105" s="426"/>
      <c r="BT105" s="426"/>
      <c r="BU105" s="493"/>
      <c r="BV105" s="425" t="str">
        <f>HF_Epic_Champion3</f>
        <v>Skimfos the Consumed</v>
      </c>
      <c r="BW105" s="426"/>
      <c r="BX105" s="426"/>
      <c r="BY105" s="493"/>
      <c r="BZ105" s="425" t="str">
        <f>HF_Epic_Champion4</f>
        <v>Mordecai</v>
      </c>
      <c r="CA105" s="426"/>
      <c r="CB105" s="426"/>
      <c r="CC105" s="493"/>
      <c r="CD105" s="316"/>
      <c r="CE105" s="316"/>
      <c r="CF105" s="316"/>
      <c r="CG105" s="316"/>
      <c r="CH105" s="316"/>
      <c r="CI105" s="316"/>
      <c r="CJ105" s="316"/>
      <c r="CK105" s="316"/>
      <c r="CL105" s="316"/>
      <c r="CM105" s="316"/>
      <c r="CN105" s="316"/>
      <c r="CO105" s="316"/>
      <c r="CP105" s="316"/>
    </row>
    <row r="106" spans="11:94" ht="16.5" hidden="1" customHeight="1" thickTop="1" thickBot="1" x14ac:dyDescent="0.25">
      <c r="K106" s="306"/>
      <c r="L106" s="306"/>
      <c r="M106" s="306"/>
      <c r="N106" s="306"/>
      <c r="O106" s="306"/>
      <c r="P106" s="306"/>
      <c r="Q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R106" s="316"/>
      <c r="AS106" s="494" t="s">
        <v>38</v>
      </c>
      <c r="AT106" s="495"/>
      <c r="AU106" s="496" t="s">
        <v>265</v>
      </c>
      <c r="AV106" s="497"/>
      <c r="AW106" s="316"/>
      <c r="AX106" s="498" t="s">
        <v>38</v>
      </c>
      <c r="AY106" s="499"/>
      <c r="AZ106" s="500" t="s">
        <v>266</v>
      </c>
      <c r="BA106" s="501"/>
      <c r="BB106" s="316"/>
      <c r="BC106" s="498" t="s">
        <v>38</v>
      </c>
      <c r="BD106" s="499"/>
      <c r="BE106" s="500" t="s">
        <v>268</v>
      </c>
      <c r="BF106" s="501"/>
      <c r="BG106" s="316"/>
      <c r="BH106" s="502" t="s">
        <v>38</v>
      </c>
      <c r="BI106" s="503"/>
      <c r="BJ106" s="504" t="s">
        <v>265</v>
      </c>
      <c r="BK106" s="505"/>
      <c r="BL106" s="316"/>
      <c r="BM106" s="312"/>
      <c r="BN106" s="328" t="s">
        <v>271</v>
      </c>
      <c r="BO106" s="329" t="s">
        <v>272</v>
      </c>
      <c r="BP106" s="329" t="s">
        <v>282</v>
      </c>
      <c r="BQ106" s="330" t="s">
        <v>273</v>
      </c>
      <c r="BR106" s="328" t="s">
        <v>271</v>
      </c>
      <c r="BS106" s="329" t="s">
        <v>272</v>
      </c>
      <c r="BT106" s="329" t="s">
        <v>282</v>
      </c>
      <c r="BU106" s="330" t="s">
        <v>273</v>
      </c>
      <c r="BV106" s="328" t="s">
        <v>271</v>
      </c>
      <c r="BW106" s="329" t="s">
        <v>272</v>
      </c>
      <c r="BX106" s="329" t="s">
        <v>282</v>
      </c>
      <c r="BY106" s="330" t="s">
        <v>273</v>
      </c>
      <c r="BZ106" s="328" t="s">
        <v>271</v>
      </c>
      <c r="CA106" s="329" t="s">
        <v>272</v>
      </c>
      <c r="CB106" s="329" t="s">
        <v>282</v>
      </c>
      <c r="CC106" s="330" t="s">
        <v>273</v>
      </c>
      <c r="CD106" s="316"/>
      <c r="CE106" s="316"/>
      <c r="CF106" s="316"/>
      <c r="CG106" s="316"/>
      <c r="CH106" s="316"/>
      <c r="CI106" s="316"/>
      <c r="CJ106" s="316"/>
      <c r="CK106" s="316"/>
      <c r="CL106" s="316"/>
      <c r="CM106" s="316"/>
      <c r="CN106" s="316"/>
      <c r="CO106" s="316"/>
      <c r="CP106" s="316"/>
    </row>
    <row r="107" spans="11:94" ht="16.5" hidden="1" customHeight="1" x14ac:dyDescent="0.2">
      <c r="K107" s="306"/>
      <c r="L107" s="306"/>
      <c r="M107" s="306"/>
      <c r="N107" s="306"/>
      <c r="O107" s="306"/>
      <c r="P107" s="306"/>
      <c r="Q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R107" s="316"/>
      <c r="AS107" s="467" t="s">
        <v>280</v>
      </c>
      <c r="AT107" s="468"/>
      <c r="AU107" s="469"/>
      <c r="AV107" s="470"/>
      <c r="AW107" s="316"/>
      <c r="AX107" s="471" t="s">
        <v>280</v>
      </c>
      <c r="AY107" s="472"/>
      <c r="AZ107" s="469"/>
      <c r="BA107" s="470"/>
      <c r="BB107" s="316"/>
      <c r="BC107" s="471" t="s">
        <v>280</v>
      </c>
      <c r="BD107" s="472"/>
      <c r="BE107" s="469"/>
      <c r="BF107" s="470"/>
      <c r="BG107" s="316"/>
      <c r="BH107" s="473" t="s">
        <v>280</v>
      </c>
      <c r="BI107" s="474"/>
      <c r="BJ107" s="475"/>
      <c r="BK107" s="476"/>
      <c r="BL107" s="316"/>
      <c r="BM107" s="331" t="s">
        <v>280</v>
      </c>
      <c r="BN107" s="332">
        <f>IF(AU107="",0,VALUE(LEFT(AU107,FIND("/",AU107)-1)))</f>
        <v>0</v>
      </c>
      <c r="BO107" s="333">
        <f>IF(AU107="",0,VALUE(RIGHT(AU107,2)))</f>
        <v>0</v>
      </c>
      <c r="BP107" s="333">
        <f>IF(BO107=50,0,IF(BO107=0,40,40-BN107))</f>
        <v>40</v>
      </c>
      <c r="BQ107" s="334">
        <f>IF(BO107=0,50,IF(BO107=40,50,BO107-BN107))</f>
        <v>50</v>
      </c>
      <c r="BR107" s="332">
        <f>IF(AZ107="",0,VALUE(LEFT(AZ107,FIND("/",AZ107)-1)))</f>
        <v>0</v>
      </c>
      <c r="BS107" s="333">
        <f>IF(AZ107="",0,VALUE(RIGHT(AZ107,2)))</f>
        <v>0</v>
      </c>
      <c r="BT107" s="333">
        <f>IF(BS107=50,0,IF(BS107=0,40,40-BR107))</f>
        <v>40</v>
      </c>
      <c r="BU107" s="334">
        <f>IF(BS107=0,50,IF(BS107=40,50,BS107-BR107))</f>
        <v>50</v>
      </c>
      <c r="BV107" s="332">
        <f>IF(BE107="",0,VALUE(LEFT(BE107,FIND("/",BE107)-1)))</f>
        <v>0</v>
      </c>
      <c r="BW107" s="333">
        <f>IF(BE107="",0,VALUE(RIGHT(BE107,2)))</f>
        <v>0</v>
      </c>
      <c r="BX107" s="333">
        <f>IF(BW107=50,0,IF(BW107=0,40,40-BV107))</f>
        <v>40</v>
      </c>
      <c r="BY107" s="334">
        <f>IF(BW107=0,50,IF(BW107=40,50,BW107-BV107))</f>
        <v>50</v>
      </c>
      <c r="BZ107" s="332">
        <f>IF(BJ107="",0,VALUE(LEFT(BJ107,FIND("/",BJ107)-1)))</f>
        <v>0</v>
      </c>
      <c r="CA107" s="333">
        <f>IF(BJ107="",0,VALUE(RIGHT(BJ107,2)))</f>
        <v>0</v>
      </c>
      <c r="CB107" s="333">
        <f>IF(CA107=50,0,IF(CA107=0,40,40-BZ107))</f>
        <v>40</v>
      </c>
      <c r="CC107" s="334">
        <f>IF(CA107=0,50,IF(CA107=40,50,CA107-BZ107))</f>
        <v>50</v>
      </c>
      <c r="CD107" s="316"/>
      <c r="CE107" s="316"/>
      <c r="CF107" s="316"/>
      <c r="CG107" s="316"/>
      <c r="CH107" s="316"/>
      <c r="CI107" s="316"/>
      <c r="CJ107" s="316"/>
      <c r="CK107" s="316"/>
      <c r="CL107" s="316"/>
      <c r="CM107" s="316"/>
      <c r="CN107" s="316"/>
      <c r="CO107" s="316"/>
      <c r="CP107" s="316"/>
    </row>
    <row r="108" spans="11:94" ht="22.5" hidden="1" customHeight="1" thickBot="1" x14ac:dyDescent="0.25">
      <c r="K108" s="306"/>
      <c r="L108" s="306"/>
      <c r="M108" s="306"/>
      <c r="N108" s="306"/>
      <c r="O108" s="306"/>
      <c r="P108" s="306"/>
      <c r="Q108" s="306"/>
      <c r="R108" s="306"/>
      <c r="S108" s="306"/>
      <c r="T108" s="306"/>
      <c r="U108" s="306"/>
      <c r="V108" s="306"/>
      <c r="W108" s="306"/>
      <c r="X108" s="306"/>
      <c r="Y108" s="306"/>
      <c r="Z108" s="306"/>
      <c r="AA108" s="306"/>
      <c r="AB108" s="306"/>
      <c r="AC108" s="306"/>
      <c r="AD108" s="306"/>
      <c r="AR108" s="316"/>
      <c r="AS108" s="477" t="s">
        <v>281</v>
      </c>
      <c r="AT108" s="478"/>
      <c r="AU108" s="479" t="s">
        <v>137</v>
      </c>
      <c r="AV108" s="480"/>
      <c r="AW108" s="316"/>
      <c r="AX108" s="481" t="s">
        <v>281</v>
      </c>
      <c r="AY108" s="482"/>
      <c r="AZ108" s="479" t="s">
        <v>137</v>
      </c>
      <c r="BA108" s="480"/>
      <c r="BB108" s="316"/>
      <c r="BC108" s="481" t="s">
        <v>281</v>
      </c>
      <c r="BD108" s="482"/>
      <c r="BE108" s="479" t="s">
        <v>137</v>
      </c>
      <c r="BF108" s="480"/>
      <c r="BG108" s="316"/>
      <c r="BH108" s="483" t="s">
        <v>281</v>
      </c>
      <c r="BI108" s="484"/>
      <c r="BJ108" s="485" t="s">
        <v>137</v>
      </c>
      <c r="BK108" s="486"/>
      <c r="BL108" s="316"/>
      <c r="BM108" s="335" t="s">
        <v>281</v>
      </c>
      <c r="BN108" s="323">
        <f>IF(AU108="✦✦✦✦✦",5,IF(AU108="✦✦✦✦✧",4,IF(AU108="✦✦✦✧✧",3,IF(AU108="✦✦✧✧✧",2,IF(AU108="✦✧✧✧✧",1,0)))))</f>
        <v>0</v>
      </c>
      <c r="BO108" s="324">
        <v>5</v>
      </c>
      <c r="BP108" s="324">
        <f>BO108-BN108</f>
        <v>5</v>
      </c>
      <c r="BQ108" s="325" t="str">
        <f>AU106</f>
        <v>Force</v>
      </c>
      <c r="BR108" s="323">
        <f>IF(AZ108="✦✦✦✦✦",5,IF(AZ108="✦✦✦✦✧",4,IF(AZ108="✦✦✦✧✧",3,IF(AZ108="✦✦✧✧✧",2,IF(AZ108="✦✧✧✧✧",1,0)))))</f>
        <v>0</v>
      </c>
      <c r="BS108" s="324">
        <v>5</v>
      </c>
      <c r="BT108" s="324">
        <f>BS108-BR108</f>
        <v>5</v>
      </c>
      <c r="BU108" s="325" t="str">
        <f>AZ106</f>
        <v>Spirit</v>
      </c>
      <c r="BV108" s="323">
        <f>IF(BE108="✦✦✦✦✦",5,IF(BE108="✦✦✦✦✧",4,IF(BE108="✦✦✦✧✧",3,IF(BE108="✦✦✧✧✧",2,IF(BE108="✦✧✧✧✧",1,0)))))</f>
        <v>0</v>
      </c>
      <c r="BW108" s="324">
        <v>5</v>
      </c>
      <c r="BX108" s="324">
        <f>BW108-BV108</f>
        <v>5</v>
      </c>
      <c r="BY108" s="325" t="str">
        <f>BE106</f>
        <v>Void</v>
      </c>
      <c r="BZ108" s="323">
        <f>IF(BJ108="✦✦✦✦✦",5,IF(BJ108="✦✦✦✦✧",4,IF(BJ108="✦✦✦✧✧",3,IF(BJ108="✦✦✧✧✧",2,IF(BJ108="✦✧✧✧✧",1,0)))))</f>
        <v>0</v>
      </c>
      <c r="CA108" s="324">
        <v>5</v>
      </c>
      <c r="CB108" s="324">
        <f>CA108-BZ108</f>
        <v>5</v>
      </c>
      <c r="CC108" s="325" t="str">
        <f>BJ106</f>
        <v>Force</v>
      </c>
      <c r="CD108" s="316"/>
      <c r="CE108" s="316"/>
      <c r="CF108" s="316"/>
      <c r="CG108" s="316"/>
      <c r="CH108" s="316"/>
      <c r="CI108" s="316"/>
      <c r="CJ108" s="316"/>
      <c r="CK108" s="316"/>
      <c r="CL108" s="316"/>
      <c r="CM108" s="316"/>
      <c r="CN108" s="316"/>
      <c r="CO108" s="316"/>
      <c r="CP108" s="316"/>
    </row>
    <row r="109" spans="11:94" ht="15.75" hidden="1" thickBot="1" x14ac:dyDescent="0.3">
      <c r="K109" s="306"/>
      <c r="L109" s="306"/>
      <c r="M109" s="306"/>
      <c r="N109" s="306"/>
      <c r="O109" s="306"/>
      <c r="P109" s="306"/>
      <c r="Q109" s="306"/>
      <c r="R109" s="306"/>
      <c r="S109" s="306"/>
      <c r="T109" s="306"/>
      <c r="U109" s="306"/>
      <c r="V109" s="306"/>
      <c r="W109" s="306"/>
      <c r="X109" s="306"/>
      <c r="Y109" s="306"/>
      <c r="Z109" s="306"/>
      <c r="AA109" s="306"/>
      <c r="AB109" s="306"/>
      <c r="AC109" s="306"/>
      <c r="AD109" s="306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36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  <c r="CK109" s="309"/>
      <c r="CL109" s="309"/>
      <c r="CM109" s="309"/>
      <c r="CN109" s="309"/>
      <c r="CO109" s="309"/>
      <c r="CP109" s="309"/>
    </row>
    <row r="110" spans="11:94" ht="21.75" hidden="1" thickBot="1" x14ac:dyDescent="0.3">
      <c r="K110" s="306"/>
      <c r="L110" s="306"/>
      <c r="M110" s="306"/>
      <c r="N110" s="306"/>
      <c r="O110" s="306"/>
      <c r="P110" s="306"/>
      <c r="Q110" s="306"/>
      <c r="R110" s="306"/>
      <c r="S110" s="306"/>
      <c r="T110" s="306"/>
      <c r="U110" s="306"/>
      <c r="V110" s="306"/>
      <c r="W110" s="306"/>
      <c r="X110" s="306"/>
      <c r="Y110" s="306"/>
      <c r="Z110" s="306"/>
      <c r="AA110" s="306"/>
      <c r="AB110" s="306"/>
      <c r="AC110" s="306"/>
      <c r="AD110" s="306"/>
      <c r="AR110" s="309"/>
      <c r="AS110" s="337" t="s">
        <v>284</v>
      </c>
      <c r="AT110" s="338"/>
      <c r="AU110" s="452" t="s">
        <v>35</v>
      </c>
      <c r="AV110" s="453"/>
      <c r="AW110" s="309"/>
      <c r="AX110" s="454" t="s">
        <v>285</v>
      </c>
      <c r="AY110" s="455"/>
      <c r="AZ110" s="455"/>
      <c r="BA110" s="456"/>
      <c r="BB110" s="309"/>
      <c r="BC110" s="454" t="s">
        <v>285</v>
      </c>
      <c r="BD110" s="455"/>
      <c r="BE110" s="455"/>
      <c r="BF110" s="456"/>
      <c r="BG110" s="309"/>
      <c r="BH110" s="457" t="s">
        <v>286</v>
      </c>
      <c r="BI110" s="458"/>
      <c r="BJ110" s="458"/>
      <c r="BK110" s="459"/>
      <c r="BL110" s="339"/>
      <c r="BM110" s="336"/>
      <c r="BN110" s="309"/>
      <c r="BO110" s="309"/>
      <c r="BP110" s="309"/>
      <c r="BQ110" s="309"/>
      <c r="BR110" s="309"/>
      <c r="BS110" s="309"/>
      <c r="BT110" s="309"/>
      <c r="BU110" s="309"/>
      <c r="BV110" s="309"/>
      <c r="BW110" s="309"/>
      <c r="BX110" s="309"/>
      <c r="BY110" s="309"/>
      <c r="BZ110" s="309"/>
      <c r="CA110" s="309"/>
      <c r="CB110" s="309"/>
      <c r="CC110" s="309"/>
      <c r="CD110" s="309"/>
      <c r="CE110" s="309"/>
      <c r="CF110" s="309"/>
      <c r="CG110" s="309"/>
      <c r="CH110" s="309"/>
      <c r="CI110" s="309"/>
      <c r="CJ110" s="309"/>
      <c r="CK110" s="309"/>
      <c r="CL110" s="309"/>
      <c r="CM110" s="309"/>
      <c r="CN110" s="309"/>
      <c r="CO110" s="309"/>
      <c r="CP110" s="309"/>
    </row>
    <row r="111" spans="11:94" ht="21.75" hidden="1" thickBot="1" x14ac:dyDescent="0.4">
      <c r="K111" s="306"/>
      <c r="L111" s="306"/>
      <c r="M111" s="306"/>
      <c r="N111" s="306"/>
      <c r="O111" s="306"/>
      <c r="P111" s="306"/>
      <c r="Q111" s="306"/>
      <c r="R111" s="306"/>
      <c r="S111" s="306"/>
      <c r="T111" s="306"/>
      <c r="U111" s="306"/>
      <c r="V111" s="306"/>
      <c r="W111" s="306"/>
      <c r="X111" s="306"/>
      <c r="Y111" s="306"/>
      <c r="Z111" s="306"/>
      <c r="AA111" s="306"/>
      <c r="AB111" s="306"/>
      <c r="AC111" s="306"/>
      <c r="AD111" s="306"/>
      <c r="AR111" s="309"/>
      <c r="AS111" s="337" t="s">
        <v>292</v>
      </c>
      <c r="AT111" s="338"/>
      <c r="AU111" s="460" t="s">
        <v>259</v>
      </c>
      <c r="AV111" s="461"/>
      <c r="AW111" s="309"/>
      <c r="AX111" s="462" t="s">
        <v>293</v>
      </c>
      <c r="AY111" s="463"/>
      <c r="AZ111" s="463"/>
      <c r="BA111" s="464"/>
      <c r="BB111" s="309"/>
      <c r="BC111" s="462" t="s">
        <v>294</v>
      </c>
      <c r="BD111" s="463"/>
      <c r="BE111" s="463"/>
      <c r="BF111" s="464"/>
      <c r="BG111" s="309"/>
      <c r="BH111" s="340" t="s">
        <v>38</v>
      </c>
      <c r="BI111" s="341" t="s">
        <v>17</v>
      </c>
      <c r="BJ111" s="341" t="s">
        <v>18</v>
      </c>
      <c r="BK111" s="342" t="s">
        <v>19</v>
      </c>
      <c r="BL111" s="343"/>
      <c r="BM111" s="309"/>
      <c r="BN111" s="465" t="s">
        <v>21</v>
      </c>
      <c r="BO111" s="466"/>
      <c r="BP111" s="435" t="s">
        <v>287</v>
      </c>
      <c r="BQ111" s="436"/>
      <c r="BR111" s="437"/>
      <c r="BS111" s="435" t="s">
        <v>288</v>
      </c>
      <c r="BT111" s="436"/>
      <c r="BU111" s="437"/>
      <c r="BV111" s="309"/>
      <c r="BW111" s="438" t="s">
        <v>289</v>
      </c>
      <c r="BX111" s="439"/>
      <c r="BY111" s="439"/>
      <c r="BZ111" s="440"/>
      <c r="CA111" s="309"/>
      <c r="CB111" s="344" t="s">
        <v>21</v>
      </c>
      <c r="CC111" s="309"/>
      <c r="CD111" s="309"/>
      <c r="CE111" s="309"/>
      <c r="CF111" s="309"/>
      <c r="CG111" s="309"/>
      <c r="CH111" s="309"/>
      <c r="CI111" s="311" t="s">
        <v>454</v>
      </c>
      <c r="CJ111" s="309"/>
      <c r="CK111" s="309"/>
      <c r="CL111" s="311" t="s">
        <v>455</v>
      </c>
      <c r="CM111" s="309"/>
      <c r="CN111" s="309"/>
      <c r="CO111" s="309"/>
      <c r="CP111" s="309"/>
    </row>
    <row r="112" spans="11:94" ht="24" hidden="1" thickBot="1" x14ac:dyDescent="0.3">
      <c r="K112" s="306"/>
      <c r="L112" s="306"/>
      <c r="M112" s="306"/>
      <c r="N112" s="306"/>
      <c r="O112" s="306"/>
      <c r="P112" s="306"/>
      <c r="Q112" s="306"/>
      <c r="R112" s="306"/>
      <c r="S112" s="306"/>
      <c r="T112" s="306"/>
      <c r="U112" s="306"/>
      <c r="V112" s="306"/>
      <c r="W112" s="306"/>
      <c r="X112" s="306"/>
      <c r="Y112" s="306"/>
      <c r="Z112" s="306"/>
      <c r="AA112" s="306"/>
      <c r="AB112" s="306"/>
      <c r="AC112" s="306"/>
      <c r="AD112" s="306"/>
      <c r="AR112" s="309"/>
      <c r="AS112" s="441" t="s">
        <v>300</v>
      </c>
      <c r="AT112" s="442"/>
      <c r="AU112" s="443"/>
      <c r="AV112" s="141"/>
      <c r="AW112" s="309"/>
      <c r="AX112" s="431" t="s">
        <v>301</v>
      </c>
      <c r="AY112" s="432"/>
      <c r="AZ112" s="444">
        <f>SUM(HF_XP_Epic4,HF_XP_Epic5)</f>
        <v>5651552</v>
      </c>
      <c r="BA112" s="445"/>
      <c r="BB112" s="309"/>
      <c r="BC112" s="431" t="s">
        <v>301</v>
      </c>
      <c r="BD112" s="432"/>
      <c r="BE112" s="444">
        <f>SUM(HF_XP_Epic4,HF_XP_Epic5,HF_XP_Legend5,HF_XP_Legend6)</f>
        <v>8626027</v>
      </c>
      <c r="BF112" s="445"/>
      <c r="BG112" s="309"/>
      <c r="BH112" s="345" t="s">
        <v>268</v>
      </c>
      <c r="BI112" s="346">
        <f>SUMIF(BN113:BN116,BH112,BP113:BP116)+SUMIF(BN118:BN121,BH112,BP118:BP121)</f>
        <v>0</v>
      </c>
      <c r="BJ112" s="346">
        <f>SUMIF(BN113:BN116,BH112,BQ113:BQ116)+SUMIF(BN118:BN121,BH112,BQ118:BQ121)</f>
        <v>20</v>
      </c>
      <c r="BK112" s="347">
        <f>SUMIF(BN113:BN116,BH112,BR113:BR116)+SUMIF(BN118:BN121,BH112,BR118:BR121)</f>
        <v>6</v>
      </c>
      <c r="BL112" s="343"/>
      <c r="BM112" s="309"/>
      <c r="BN112" s="348" t="s">
        <v>295</v>
      </c>
      <c r="BO112" s="349" t="s">
        <v>37</v>
      </c>
      <c r="BP112" s="350" t="s">
        <v>17</v>
      </c>
      <c r="BQ112" s="351" t="s">
        <v>18</v>
      </c>
      <c r="BR112" s="352" t="s">
        <v>19</v>
      </c>
      <c r="BS112" s="353" t="s">
        <v>17</v>
      </c>
      <c r="BT112" s="351" t="s">
        <v>18</v>
      </c>
      <c r="BU112" s="352" t="s">
        <v>19</v>
      </c>
      <c r="BV112" s="309"/>
      <c r="BW112" s="446" t="s">
        <v>296</v>
      </c>
      <c r="BX112" s="447"/>
      <c r="BY112" s="447"/>
      <c r="BZ112" s="354">
        <f>(VALUE(LEFT(HF_Stage,FIND("-",HF_Stage)-1))-1)*7+VALUE(RIGHT(HF_Stage,1))</f>
        <v>80</v>
      </c>
      <c r="CA112" s="309"/>
      <c r="CB112" s="355" t="s">
        <v>295</v>
      </c>
      <c r="CC112" s="356" t="s">
        <v>271</v>
      </c>
      <c r="CD112" s="357" t="s">
        <v>272</v>
      </c>
      <c r="CE112" s="357" t="s">
        <v>282</v>
      </c>
      <c r="CF112" s="358" t="s">
        <v>273</v>
      </c>
      <c r="CG112" s="356" t="s">
        <v>297</v>
      </c>
      <c r="CH112" s="357" t="s">
        <v>298</v>
      </c>
      <c r="CI112" s="358" t="s">
        <v>299</v>
      </c>
      <c r="CJ112" s="356" t="s">
        <v>274</v>
      </c>
      <c r="CK112" s="357" t="s">
        <v>275</v>
      </c>
      <c r="CL112" s="358" t="s">
        <v>276</v>
      </c>
      <c r="CM112" s="309"/>
      <c r="CN112" s="309"/>
      <c r="CO112" s="309"/>
      <c r="CP112" s="309"/>
    </row>
    <row r="113" spans="11:94" ht="24" hidden="1" thickBot="1" x14ac:dyDescent="0.3">
      <c r="K113" s="306"/>
      <c r="L113" s="306"/>
      <c r="M113" s="306"/>
      <c r="N113" s="306"/>
      <c r="O113" s="306"/>
      <c r="P113" s="306"/>
      <c r="Q113" s="306"/>
      <c r="R113" s="306"/>
      <c r="S113" s="306"/>
      <c r="T113" s="306"/>
      <c r="U113" s="306"/>
      <c r="V113" s="306"/>
      <c r="W113" s="306"/>
      <c r="X113" s="306"/>
      <c r="Y113" s="306"/>
      <c r="Z113" s="306"/>
      <c r="AA113" s="306"/>
      <c r="AB113" s="306"/>
      <c r="AC113" s="306"/>
      <c r="AD113" s="306"/>
      <c r="AR113" s="309"/>
      <c r="AS113" s="404" t="s">
        <v>303</v>
      </c>
      <c r="AT113" s="404"/>
      <c r="AU113" s="405"/>
      <c r="AV113" s="141"/>
      <c r="AW113" s="309"/>
      <c r="AX113" s="359" t="s">
        <v>304</v>
      </c>
      <c r="AY113" s="360"/>
      <c r="AZ113" s="448" cm="1">
        <f t="array" ref="AZ113">ROUNDUP(AZ112/HF_XP_perRun,0)</f>
        <v>436</v>
      </c>
      <c r="BA113" s="449"/>
      <c r="BB113" s="309"/>
      <c r="BC113" s="359" t="s">
        <v>304</v>
      </c>
      <c r="BD113" s="361"/>
      <c r="BE113" s="448" cm="1">
        <f t="array" ref="BE113">ROUNDUP(BE112/HF_XP_perRun,0)</f>
        <v>665</v>
      </c>
      <c r="BF113" s="449"/>
      <c r="BG113" s="309"/>
      <c r="BH113" s="362" t="s">
        <v>265</v>
      </c>
      <c r="BI113" s="346">
        <f>SUMIF(BN113:BN116,BH113,BP113:BP116)+SUMIF(BN118:BN121,BH113,BP118:BP121)</f>
        <v>0</v>
      </c>
      <c r="BJ113" s="346">
        <f>SUMIF(BN113:BN116,BH113,BQ113:BQ116)+SUMIF(BN118:BN121,BH113,BQ118:BQ121)</f>
        <v>40</v>
      </c>
      <c r="BK113" s="347">
        <f>SUMIF(BN113:BN116,BH113,BR113:BR116)+SUMIF(BN118:BN121,BH113,BR118:BR121)</f>
        <v>12</v>
      </c>
      <c r="BL113" s="343"/>
      <c r="BM113" s="336">
        <v>1</v>
      </c>
      <c r="BN113" s="363" t="str">
        <f>BQ108</f>
        <v>Force</v>
      </c>
      <c r="BO113" s="364">
        <f>BN108</f>
        <v>0</v>
      </c>
      <c r="BP113" s="365">
        <f>IF(BO113=5,0,SUM(INDEX(Epic_Affinity_Lesser,BO113+1):INDEX(Epic_Affinity_Lesser,5)))</f>
        <v>0</v>
      </c>
      <c r="BQ113" s="366">
        <f>IF(BO113=5,0,SUM(INDEX(Epic_Affinity_Greater,BO113+1):INDEX(Epic_Affinity_Greater,5)))</f>
        <v>20</v>
      </c>
      <c r="BR113" s="367">
        <f>IF(BO113=5,0,SUM(INDEX(Epic_Affinity_Superior,BO113+1):INDEX(Epic_Affinity_Superior,5)))</f>
        <v>6</v>
      </c>
      <c r="BS113" s="365">
        <f>IF(BN113="",0,IF(BO113=5,0,SUM(INDEX(Epic_Arcane_Lesser,BO113+1):INDEX(Epic_Arcane_Lesser,5))))</f>
        <v>0</v>
      </c>
      <c r="BT113" s="366">
        <f>IF(BN113="",0,IF(BO113=5,0,SUM(INDEX(Epic_Arcane_Greater,BO113+1):INDEX(Epic_Arcane_Greater,5))))</f>
        <v>15</v>
      </c>
      <c r="BU113" s="367">
        <f>IF(BN113="",0,IF(BO113=5,0,SUM(INDEX(Epic_Arcane_Superior,BO113+1):INDEX(Epic_Arcane_Superior,5))))</f>
        <v>3</v>
      </c>
      <c r="BV113" s="309"/>
      <c r="BW113" s="450" t="s">
        <v>456</v>
      </c>
      <c r="BX113" s="451"/>
      <c r="BY113" s="451"/>
      <c r="BZ113" s="368">
        <f>IF(VALUE(RIGHT(HF_Stage,1))=7,_xlfn.XLOOKUP(HF_Map,V_Energy_Map,V_Energy_Boss,FALSE),_xlfn.XLOOKUP(HF_Map,V_Energy_Map,V_Energy_Regular,FALSE))</f>
        <v>8</v>
      </c>
      <c r="CA113" s="336">
        <v>1</v>
      </c>
      <c r="CB113" s="369" t="str">
        <f>BQ108</f>
        <v>Force</v>
      </c>
      <c r="CC113" s="332">
        <f>BN107</f>
        <v>0</v>
      </c>
      <c r="CD113" s="333">
        <f>BO107</f>
        <v>0</v>
      </c>
      <c r="CE113" s="333">
        <f>BP107</f>
        <v>40</v>
      </c>
      <c r="CF113" s="334">
        <f>BQ107</f>
        <v>50</v>
      </c>
      <c r="CG113" s="332">
        <f>IF(CE113=40,1,IF(CE113=0,0,40-CE113))</f>
        <v>1</v>
      </c>
      <c r="CH113" s="333">
        <f>IF(CG113=0,0,40)</f>
        <v>40</v>
      </c>
      <c r="CI113" s="368">
        <f>IF(CE113=0,0,SUM(INDEX(V_XP_4Star,CG113):INDEX(V_XP_4Star,CH113-1)))</f>
        <v>449082</v>
      </c>
      <c r="CJ113" s="332">
        <f>IF(CF113=50,1,IF(CF113=0,0,50-CF113))</f>
        <v>1</v>
      </c>
      <c r="CK113" s="333">
        <f>IF(CJ113=0,0,50)</f>
        <v>50</v>
      </c>
      <c r="CL113" s="368">
        <f>IF(CF113=0,0,SUM(INDEX(V_XP_5Star,CJ113):INDEX(V_XP_5Star,CK113-1)))</f>
        <v>963806</v>
      </c>
      <c r="CM113" s="309"/>
      <c r="CN113" s="309"/>
      <c r="CO113" s="309"/>
      <c r="CP113" s="309"/>
    </row>
    <row r="114" spans="11:94" ht="24" hidden="1" thickBot="1" x14ac:dyDescent="0.3">
      <c r="K114" s="306"/>
      <c r="L114" s="306"/>
      <c r="M114" s="306"/>
      <c r="N114" s="306"/>
      <c r="O114" s="306"/>
      <c r="P114" s="306"/>
      <c r="Q114" s="306"/>
      <c r="R114" s="306"/>
      <c r="S114" s="306"/>
      <c r="T114" s="306"/>
      <c r="U114" s="306"/>
      <c r="V114" s="306"/>
      <c r="W114" s="306"/>
      <c r="X114" s="306"/>
      <c r="Y114" s="306"/>
      <c r="Z114" s="306"/>
      <c r="AA114" s="306"/>
      <c r="AB114" s="306"/>
      <c r="AC114" s="306"/>
      <c r="AD114" s="306"/>
      <c r="AR114" s="309"/>
      <c r="AS114" s="337" t="s">
        <v>306</v>
      </c>
      <c r="AT114" s="370"/>
      <c r="AU114" s="370"/>
      <c r="AV114" s="163">
        <v>4</v>
      </c>
      <c r="AW114" s="309"/>
      <c r="AX114" s="371" t="s">
        <v>307</v>
      </c>
      <c r="AY114" s="372"/>
      <c r="AZ114" s="421" cm="1">
        <f t="array" ref="AZ114">AZ113*HF_Energy_perRun</f>
        <v>3488</v>
      </c>
      <c r="BA114" s="422"/>
      <c r="BB114" s="309"/>
      <c r="BC114" s="371" t="s">
        <v>307</v>
      </c>
      <c r="BD114" s="373"/>
      <c r="BE114" s="421" cm="1">
        <f t="array" ref="BE114">BE113*HF_Energy_perRun</f>
        <v>5320</v>
      </c>
      <c r="BF114" s="422"/>
      <c r="BG114" s="309"/>
      <c r="BH114" s="362" t="s">
        <v>267</v>
      </c>
      <c r="BI114" s="346">
        <f>SUMIF(BN113:BN116,BH114,BP113:BP116)+SUMIF(BN118:BN121,BH114,BP118:BP121)</f>
        <v>0</v>
      </c>
      <c r="BJ114" s="346">
        <f>SUMIF(BN113:BN116,BH114,BQ113:BQ116)+SUMIF(BN118:BN121,BH114,BQ118:BQ121)</f>
        <v>0</v>
      </c>
      <c r="BK114" s="347">
        <f>SUMIF(BN113:BN116,BH114,BR113:BR116)+SUMIF(BN118:BN121,BH114,BR118:BR121)</f>
        <v>0</v>
      </c>
      <c r="BL114" s="316"/>
      <c r="BM114" s="336">
        <v>2</v>
      </c>
      <c r="BN114" s="374" t="str">
        <f>BU108</f>
        <v>Spirit</v>
      </c>
      <c r="BO114" s="375">
        <f>BR108</f>
        <v>0</v>
      </c>
      <c r="BP114" s="376">
        <f>IF(BO114=5,0,SUM(INDEX(Epic_Affinity_Lesser,BO114+1):INDEX(Epic_Affinity_Lesser,5)))</f>
        <v>0</v>
      </c>
      <c r="BQ114" s="377">
        <f>IF(BO114=5,0,SUM(INDEX(Epic_Affinity_Greater,BO114+1):INDEX(Epic_Affinity_Greater,5)))</f>
        <v>20</v>
      </c>
      <c r="BR114" s="378">
        <f>IF(BO114=5,0,SUM(INDEX(Epic_Affinity_Superior,BO114+1):INDEX(Epic_Affinity_Superior,5)))</f>
        <v>6</v>
      </c>
      <c r="BS114" s="376">
        <f>IF(BN114="",0,IF(BO114=5,0,SUM(INDEX(Epic_Arcane_Lesser,BO114+1):INDEX(Epic_Arcane_Lesser,5))))</f>
        <v>0</v>
      </c>
      <c r="BT114" s="377">
        <f>IF(BN114="",0,IF(BO114=5,0,SUM(INDEX(Epic_Arcane_Greater,BO114+1):INDEX(Epic_Arcane_Greater,5))))</f>
        <v>15</v>
      </c>
      <c r="BU114" s="378">
        <f>IF(BN114="",0,IF(BO114=5,0,SUM(INDEX(Epic_Arcane_Superior,BO114+1):INDEX(Epic_Arcane_Superior,5))))</f>
        <v>3</v>
      </c>
      <c r="BV114" s="309"/>
      <c r="BW114" s="423" t="s">
        <v>305</v>
      </c>
      <c r="BX114" s="424"/>
      <c r="BY114" s="424"/>
      <c r="BZ114" s="379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336">
        <v>2</v>
      </c>
      <c r="CB114" s="369" t="str">
        <f>BU108</f>
        <v>Spirit</v>
      </c>
      <c r="CC114" s="332">
        <f>BR107</f>
        <v>0</v>
      </c>
      <c r="CD114" s="333">
        <f>BS107</f>
        <v>0</v>
      </c>
      <c r="CE114" s="333">
        <f>BT107</f>
        <v>40</v>
      </c>
      <c r="CF114" s="334">
        <f>BU107</f>
        <v>50</v>
      </c>
      <c r="CG114" s="332">
        <f>IF(CE114=40,1,IF(CE114=0,0,40-CE114))</f>
        <v>1</v>
      </c>
      <c r="CH114" s="333">
        <f>IF(CG114=0,0,40)</f>
        <v>40</v>
      </c>
      <c r="CI114" s="368">
        <f>IF(CE114=0,0,SUM(INDEX(V_XP_4Star,CG114):INDEX(V_XP_4Star,CH114-1)))</f>
        <v>449082</v>
      </c>
      <c r="CJ114" s="332">
        <f>IF(CF114=50,1,IF(CF114=0,0,50-CF114))</f>
        <v>1</v>
      </c>
      <c r="CK114" s="333">
        <f>IF(CJ114=0,0,50)</f>
        <v>50</v>
      </c>
      <c r="CL114" s="368">
        <f>IF(CF114=0,0,SUM(INDEX(V_XP_5Star,CJ114):INDEX(V_XP_5Star,CK114-1)))</f>
        <v>963806</v>
      </c>
      <c r="CM114" s="309"/>
      <c r="CN114" s="309"/>
      <c r="CO114" s="309"/>
      <c r="CP114" s="309"/>
    </row>
    <row r="115" spans="11:94" ht="24" hidden="1" thickBot="1" x14ac:dyDescent="0.3">
      <c r="K115" s="306"/>
      <c r="L115" s="306"/>
      <c r="M115" s="306"/>
      <c r="N115" s="306"/>
      <c r="O115" s="306"/>
      <c r="P115" s="306"/>
      <c r="Q115" s="306"/>
      <c r="R115" s="306"/>
      <c r="S115" s="306"/>
      <c r="T115" s="306"/>
      <c r="U115" s="306"/>
      <c r="V115" s="306"/>
      <c r="W115" s="306"/>
      <c r="X115" s="306"/>
      <c r="Y115" s="306"/>
      <c r="Z115" s="306"/>
      <c r="AA115" s="306"/>
      <c r="AB115" s="306"/>
      <c r="AC115" s="306"/>
      <c r="AD115" s="306"/>
      <c r="AR115" s="309"/>
      <c r="AS115" s="337" t="s">
        <v>310</v>
      </c>
      <c r="AT115" s="370"/>
      <c r="AU115" s="370"/>
      <c r="AV115" s="141">
        <v>3</v>
      </c>
      <c r="AW115" s="309"/>
      <c r="AX115" s="406" t="s">
        <v>311</v>
      </c>
      <c r="AY115" s="407"/>
      <c r="AZ115" s="407"/>
      <c r="BA115" s="408"/>
      <c r="BB115" s="309"/>
      <c r="BC115" s="406" t="s">
        <v>311</v>
      </c>
      <c r="BD115" s="407"/>
      <c r="BE115" s="407"/>
      <c r="BF115" s="408"/>
      <c r="BG115" s="309"/>
      <c r="BH115" s="380" t="s">
        <v>266</v>
      </c>
      <c r="BI115" s="346">
        <f>SUMIF(BN113:BN116,BH115,BP113:BP116)+SUMIF(BN118:BN121,BH115,BP118:BP121)</f>
        <v>0</v>
      </c>
      <c r="BJ115" s="346">
        <f>SUMIF(BN113:BN116,BH115,BQ113:BQ116)+SUMIF(BN118:BN121,BH115,BQ118:BQ121)</f>
        <v>20</v>
      </c>
      <c r="BK115" s="347">
        <f>SUMIF(BN113:BN116,BH115,BR113:BR116)+SUMIF(BN118:BN121,BH115,BR118:BR121)</f>
        <v>6</v>
      </c>
      <c r="BL115" s="316"/>
      <c r="BM115" s="336">
        <v>3</v>
      </c>
      <c r="BN115" s="374" t="str">
        <f>BY108</f>
        <v>Void</v>
      </c>
      <c r="BO115" s="375">
        <f>BV108</f>
        <v>0</v>
      </c>
      <c r="BP115" s="376">
        <f>IF(BO115=5,0,SUM(INDEX(Epic_Affinity_Lesser,BO115+1):INDEX(Epic_Affinity_Lesser,5)))</f>
        <v>0</v>
      </c>
      <c r="BQ115" s="377">
        <f>IF(BO115=5,0,SUM(INDEX(Epic_Affinity_Greater,BO115+1):INDEX(Epic_Affinity_Greater,5)))</f>
        <v>20</v>
      </c>
      <c r="BR115" s="378">
        <f>IF(BO115=5,0,SUM(INDEX(Epic_Affinity_Superior,BO115+1):INDEX(Epic_Affinity_Superior,5)))</f>
        <v>6</v>
      </c>
      <c r="BS115" s="376">
        <f>IF(BN115="",0,IF(BO115=5,0,SUM(INDEX(Epic_Arcane_Lesser,BO115+1):INDEX(Epic_Arcane_Lesser,5))))</f>
        <v>0</v>
      </c>
      <c r="BT115" s="377">
        <f>IF(BN115="",0,IF(BO115=5,0,SUM(INDEX(Epic_Arcane_Greater,BO115+1):INDEX(Epic_Arcane_Greater,5))))</f>
        <v>15</v>
      </c>
      <c r="BU115" s="378">
        <f>IF(BN115="",0,IF(BO115=5,0,SUM(INDEX(Epic_Arcane_Superior,BO115+1):INDEX(Epic_Arcane_Superior,5))))</f>
        <v>3</v>
      </c>
      <c r="BV115" s="309"/>
      <c r="BW115" s="425" t="s">
        <v>308</v>
      </c>
      <c r="BX115" s="426"/>
      <c r="BY115" s="381" t="s">
        <v>309</v>
      </c>
      <c r="BZ115" s="168">
        <f>IF(HF_XPBoost="On",2,1)</f>
        <v>1</v>
      </c>
      <c r="CA115" s="336">
        <v>3</v>
      </c>
      <c r="CB115" s="369" t="str">
        <f>BY108</f>
        <v>Void</v>
      </c>
      <c r="CC115" s="332">
        <f>BV107</f>
        <v>0</v>
      </c>
      <c r="CD115" s="333">
        <f>BW107</f>
        <v>0</v>
      </c>
      <c r="CE115" s="333">
        <f>BX107</f>
        <v>40</v>
      </c>
      <c r="CF115" s="334">
        <f>BY107</f>
        <v>50</v>
      </c>
      <c r="CG115" s="332">
        <f>IF(CE115=40,1,IF(CE115=0,0,40-CE115))</f>
        <v>1</v>
      </c>
      <c r="CH115" s="333">
        <f>IF(CG115=0,0,40)</f>
        <v>40</v>
      </c>
      <c r="CI115" s="368">
        <f>IF(CE115=0,0,SUM(INDEX(V_XP_4Star,CG115):INDEX(V_XP_4Star,CH115-1)))</f>
        <v>449082</v>
      </c>
      <c r="CJ115" s="332">
        <f>IF(CF115=50,1,IF(CF115=0,0,50-CF115))</f>
        <v>1</v>
      </c>
      <c r="CK115" s="333">
        <f>IF(CJ115=0,0,50)</f>
        <v>50</v>
      </c>
      <c r="CL115" s="368">
        <f>IF(CF115=0,0,SUM(INDEX(V_XP_5Star,CJ115):INDEX(V_XP_5Star,CK115-1)))</f>
        <v>963806</v>
      </c>
      <c r="CM115" s="309"/>
      <c r="CN115" s="309"/>
      <c r="CO115" s="309"/>
      <c r="CP115" s="309"/>
    </row>
    <row r="116" spans="11:94" ht="24" hidden="1" thickBot="1" x14ac:dyDescent="0.3">
      <c r="K116" s="306"/>
      <c r="L116" s="306"/>
      <c r="M116" s="306"/>
      <c r="N116" s="306"/>
      <c r="O116" s="306"/>
      <c r="P116" s="306"/>
      <c r="Q116" s="306"/>
      <c r="R116" s="306"/>
      <c r="S116" s="306"/>
      <c r="T116" s="306"/>
      <c r="U116" s="306"/>
      <c r="V116" s="306"/>
      <c r="W116" s="306"/>
      <c r="X116" s="306"/>
      <c r="Y116" s="306"/>
      <c r="Z116" s="306"/>
      <c r="AA116" s="306"/>
      <c r="AB116" s="306"/>
      <c r="AC116" s="306"/>
      <c r="AD116" s="306"/>
      <c r="AR116" s="309"/>
      <c r="AS116" s="404" t="s">
        <v>313</v>
      </c>
      <c r="AT116" s="404"/>
      <c r="AU116" s="405"/>
      <c r="AV116" s="163" t="s">
        <v>314</v>
      </c>
      <c r="AW116" s="309"/>
      <c r="AX116" s="431" t="s">
        <v>453</v>
      </c>
      <c r="AY116" s="432"/>
      <c r="AZ116" s="432"/>
      <c r="BA116" s="382">
        <f>ROUNDUP(AZ112/18750,0)</f>
        <v>302</v>
      </c>
      <c r="BB116" s="309"/>
      <c r="BC116" s="431" t="s">
        <v>453</v>
      </c>
      <c r="BD116" s="432"/>
      <c r="BE116" s="432"/>
      <c r="BF116" s="382">
        <f>ROUNDUP(BE112/18750,0)</f>
        <v>461</v>
      </c>
      <c r="BG116" s="309"/>
      <c r="BH116" s="383" t="s">
        <v>39</v>
      </c>
      <c r="BI116" s="384">
        <f>SUM(BS113:BS116)</f>
        <v>0</v>
      </c>
      <c r="BJ116" s="384">
        <f>SUM(BT113:BT116)</f>
        <v>60</v>
      </c>
      <c r="BK116" s="385">
        <f>SUM(BU113:BU116)</f>
        <v>12</v>
      </c>
      <c r="BL116" s="316"/>
      <c r="BM116" s="336">
        <v>4</v>
      </c>
      <c r="BN116" s="386" t="str">
        <f>CC108</f>
        <v>Force</v>
      </c>
      <c r="BO116" s="387">
        <f>BZ108</f>
        <v>0</v>
      </c>
      <c r="BP116" s="388">
        <f>IF(BO116=5,0,SUM(INDEX(Epic_Affinity_Lesser,BO116+1):INDEX(Epic_Affinity_Lesser,5)))</f>
        <v>0</v>
      </c>
      <c r="BQ116" s="389">
        <f>IF(BO116=5,0,SUM(INDEX(Epic_Affinity_Greater,BO116+1):INDEX(Epic_Affinity_Greater,5)))</f>
        <v>20</v>
      </c>
      <c r="BR116" s="390">
        <f>IF(BO116=5,0,SUM(INDEX(Epic_Affinity_Superior,BO116+1):INDEX(Epic_Affinity_Superior,5)))</f>
        <v>6</v>
      </c>
      <c r="BS116" s="388">
        <f>IF(BN116="",0,IF(BO116=5,0,SUM(INDEX(Epic_Arcane_Lesser,BO116+1):INDEX(Epic_Arcane_Lesser,5))))</f>
        <v>0</v>
      </c>
      <c r="BT116" s="389">
        <f>IF(BN116="",0,IF(BO116=5,0,SUM(INDEX(Epic_Arcane_Greater,BO116+1):INDEX(Epic_Arcane_Greater,5))))</f>
        <v>15</v>
      </c>
      <c r="BU116" s="390">
        <f>IF(BN116="",0,IF(BO116=5,0,SUM(INDEX(Epic_Arcane_Superior,BO116+1):INDEX(Epic_Arcane_Superior,5))))</f>
        <v>3</v>
      </c>
      <c r="BV116" s="309"/>
      <c r="BW116" s="427"/>
      <c r="BX116" s="428"/>
      <c r="BY116" s="391" t="s">
        <v>312</v>
      </c>
      <c r="BZ116" s="176">
        <f>IF(HF_RaidPass="On",1.2,1)</f>
        <v>1</v>
      </c>
      <c r="CA116" s="336">
        <v>4</v>
      </c>
      <c r="CB116" s="392" t="str">
        <f>CC108</f>
        <v>Force</v>
      </c>
      <c r="CC116" s="323">
        <f>BZ107</f>
        <v>0</v>
      </c>
      <c r="CD116" s="324">
        <f>CA107</f>
        <v>0</v>
      </c>
      <c r="CE116" s="324">
        <f>CB107</f>
        <v>40</v>
      </c>
      <c r="CF116" s="325">
        <f>CC107</f>
        <v>50</v>
      </c>
      <c r="CG116" s="323">
        <f>IF(CE116=40,1,IF(CE116=0,0,40-CE116))</f>
        <v>1</v>
      </c>
      <c r="CH116" s="324">
        <f>IF(CG116=0,0,40)</f>
        <v>40</v>
      </c>
      <c r="CI116" s="393">
        <f>IF(CE116=0,0,SUM(INDEX(V_XP_4Star,CG116):INDEX(V_XP_4Star,CH116-1)))</f>
        <v>449082</v>
      </c>
      <c r="CJ116" s="323">
        <f>IF(CF116=50,1,IF(CF116=0,0,50-CF116))</f>
        <v>1</v>
      </c>
      <c r="CK116" s="324">
        <f>IF(CJ116=0,0,50)</f>
        <v>50</v>
      </c>
      <c r="CL116" s="393">
        <f>IF(CF116=0,0,SUM(INDEX(V_XP_5Star,CJ116):INDEX(V_XP_5Star,CK116-1)))</f>
        <v>963806</v>
      </c>
      <c r="CM116" s="309"/>
      <c r="CN116" s="309"/>
      <c r="CO116" s="309"/>
      <c r="CP116" s="309"/>
    </row>
    <row r="117" spans="11:94" ht="21.75" hidden="1" thickBot="1" x14ac:dyDescent="0.3"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R117" s="309"/>
      <c r="AS117" s="404" t="s">
        <v>317</v>
      </c>
      <c r="AT117" s="404"/>
      <c r="AU117" s="405"/>
      <c r="AV117" s="163" t="s">
        <v>314</v>
      </c>
      <c r="AW117" s="309"/>
      <c r="AX117" s="433" t="s">
        <v>318</v>
      </c>
      <c r="AY117" s="434"/>
      <c r="AZ117" s="434"/>
      <c r="BA117" s="394">
        <f>ROUNDUP(AZ114/HF_FullEnergy,0)*40</f>
        <v>1080</v>
      </c>
      <c r="BB117" s="309"/>
      <c r="BC117" s="433" t="s">
        <v>318</v>
      </c>
      <c r="BD117" s="434"/>
      <c r="BE117" s="434"/>
      <c r="BF117" s="394">
        <f>ROUNDUP(BE114/HF_FullEnergy,0)*40</f>
        <v>1640</v>
      </c>
      <c r="BG117" s="309"/>
      <c r="BH117" s="309"/>
      <c r="BI117" s="309"/>
      <c r="BJ117" s="309"/>
      <c r="BK117" s="309"/>
      <c r="BL117" s="316"/>
      <c r="BM117" s="309"/>
      <c r="BN117" s="309"/>
      <c r="BO117" s="309"/>
      <c r="BP117" s="309"/>
      <c r="BQ117" s="309"/>
      <c r="BR117" s="309"/>
      <c r="BS117" s="309"/>
      <c r="BT117" s="309"/>
      <c r="BU117" s="309"/>
      <c r="BV117" s="309"/>
      <c r="BW117" s="429"/>
      <c r="BX117" s="430"/>
      <c r="BY117" s="395" t="s">
        <v>316</v>
      </c>
      <c r="BZ117" s="184">
        <f>IF(HF_Lvl100BattlePass="On",0.5,0)</f>
        <v>0</v>
      </c>
      <c r="CA117" s="309"/>
      <c r="CB117" s="309"/>
      <c r="CC117" s="309"/>
      <c r="CD117" s="309"/>
      <c r="CE117" s="309"/>
      <c r="CF117" s="309"/>
      <c r="CG117" s="309"/>
      <c r="CH117" s="309"/>
      <c r="CI117" s="309"/>
      <c r="CJ117" s="309"/>
      <c r="CK117" s="309"/>
      <c r="CL117" s="309"/>
      <c r="CM117" s="309"/>
      <c r="CN117" s="309"/>
      <c r="CO117" s="309"/>
      <c r="CP117" s="309"/>
    </row>
    <row r="118" spans="11:94" ht="21.75" hidden="1" thickBot="1" x14ac:dyDescent="0.3">
      <c r="K118" s="306"/>
      <c r="L118" s="306"/>
      <c r="M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6"/>
      <c r="X118" s="306"/>
      <c r="Y118" s="306"/>
      <c r="Z118" s="306"/>
      <c r="AA118" s="306"/>
      <c r="AB118" s="306"/>
      <c r="AC118" s="306"/>
      <c r="AD118" s="306"/>
      <c r="AR118" s="309"/>
      <c r="AS118" s="404" t="s">
        <v>322</v>
      </c>
      <c r="AT118" s="404"/>
      <c r="AU118" s="405"/>
      <c r="AV118" s="163" t="s">
        <v>314</v>
      </c>
      <c r="AW118" s="309"/>
      <c r="AX118" s="406" t="s">
        <v>323</v>
      </c>
      <c r="AY118" s="407"/>
      <c r="AZ118" s="407"/>
      <c r="BA118" s="408"/>
      <c r="BB118" s="309"/>
      <c r="BC118" s="406" t="s">
        <v>323</v>
      </c>
      <c r="BD118" s="407"/>
      <c r="BE118" s="407"/>
      <c r="BF118" s="408"/>
      <c r="BG118" s="309"/>
      <c r="BH118" s="309"/>
      <c r="BI118" s="309"/>
      <c r="BJ118" s="309"/>
      <c r="BK118" s="309"/>
      <c r="BL118" s="309"/>
      <c r="BM118" s="309"/>
      <c r="BN118" s="309"/>
      <c r="BO118" s="309"/>
      <c r="BP118" s="309"/>
      <c r="BQ118" s="309"/>
      <c r="BR118" s="309"/>
      <c r="BS118" s="309"/>
      <c r="BT118" s="309"/>
      <c r="BU118" s="309"/>
      <c r="BV118" s="309"/>
      <c r="BW118" s="409" t="s">
        <v>319</v>
      </c>
      <c r="BX118" s="410"/>
      <c r="BY118" s="411"/>
      <c r="BZ118" s="396">
        <f>BZ115*BZ116+BZ117</f>
        <v>1</v>
      </c>
      <c r="CA118" s="309"/>
      <c r="CB118" s="309"/>
      <c r="CC118" s="309"/>
      <c r="CD118" s="309"/>
      <c r="CE118" s="309"/>
      <c r="CF118" s="309"/>
      <c r="CG118" s="309"/>
      <c r="CH118" s="309"/>
      <c r="CI118" s="309"/>
      <c r="CJ118" s="309"/>
      <c r="CK118" s="309"/>
      <c r="CL118" s="309"/>
      <c r="CM118" s="309"/>
      <c r="CN118" s="309"/>
      <c r="CO118" s="309"/>
      <c r="CP118" s="309"/>
    </row>
    <row r="119" spans="11:94" ht="21.75" hidden="1" thickBot="1" x14ac:dyDescent="0.4">
      <c r="K119" s="306"/>
      <c r="L119" s="306"/>
      <c r="M119" s="306"/>
      <c r="N119" s="306"/>
      <c r="O119" s="306"/>
      <c r="P119" s="306"/>
      <c r="Q119" s="306"/>
      <c r="R119" s="306"/>
      <c r="S119" s="306"/>
      <c r="T119" s="306"/>
      <c r="U119" s="306"/>
      <c r="V119" s="306"/>
      <c r="W119" s="306"/>
      <c r="X119" s="306"/>
      <c r="Y119" s="306"/>
      <c r="Z119" s="306"/>
      <c r="AA119" s="306"/>
      <c r="AB119" s="306"/>
      <c r="AC119" s="306"/>
      <c r="AD119" s="306"/>
      <c r="AR119" s="309"/>
      <c r="AS119" s="404" t="s">
        <v>328</v>
      </c>
      <c r="AT119" s="404"/>
      <c r="AU119" s="405"/>
      <c r="AV119" s="141">
        <v>130</v>
      </c>
      <c r="AW119" s="309"/>
      <c r="AX119" s="412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413"/>
      <c r="AZ119" s="413"/>
      <c r="BA119" s="414"/>
      <c r="BB119" s="309"/>
      <c r="BC119" s="412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413"/>
      <c r="BE119" s="413"/>
      <c r="BF119" s="414"/>
      <c r="BG119" s="309"/>
      <c r="BH119" s="309"/>
      <c r="BI119" s="309"/>
      <c r="BJ119" s="309"/>
      <c r="BK119" s="309"/>
      <c r="BL119" s="309"/>
      <c r="BM119" s="309"/>
      <c r="BN119" s="309"/>
      <c r="BO119" s="309"/>
      <c r="BP119" s="309"/>
      <c r="BQ119" s="309"/>
      <c r="BR119" s="309"/>
      <c r="BS119" s="309"/>
      <c r="BT119" s="309"/>
      <c r="BU119" s="309"/>
      <c r="BV119" s="309"/>
      <c r="BW119" s="415" t="s">
        <v>324</v>
      </c>
      <c r="BX119" s="416"/>
      <c r="BY119" s="417"/>
      <c r="BZ119" s="368">
        <f>BZ114*BZ118</f>
        <v>17304</v>
      </c>
      <c r="CA119" s="309"/>
      <c r="CB119" s="309"/>
      <c r="CC119" s="309"/>
      <c r="CD119" s="309"/>
      <c r="CE119" s="309"/>
      <c r="CF119" s="309"/>
      <c r="CG119" s="309"/>
      <c r="CH119" s="309"/>
      <c r="CI119" s="309"/>
      <c r="CJ119" s="309"/>
      <c r="CK119" s="309"/>
      <c r="CL119" s="309"/>
      <c r="CM119" s="309"/>
      <c r="CN119" s="309"/>
      <c r="CO119" s="309"/>
      <c r="CP119" s="309"/>
    </row>
    <row r="120" spans="11:94" ht="15" hidden="1" x14ac:dyDescent="0.25">
      <c r="K120" s="306"/>
      <c r="L120" s="306"/>
      <c r="M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6"/>
      <c r="X120" s="306"/>
      <c r="Y120" s="306"/>
      <c r="Z120" s="306"/>
      <c r="AA120" s="306"/>
      <c r="AB120" s="306"/>
      <c r="AC120" s="306"/>
      <c r="AD120" s="306"/>
      <c r="AR120" s="309"/>
      <c r="AS120" s="309"/>
      <c r="AT120" s="309"/>
      <c r="AU120" s="309"/>
      <c r="AV120" s="309"/>
      <c r="AW120" s="309"/>
      <c r="AX120" s="309"/>
      <c r="AY120" s="309"/>
      <c r="AZ120" s="309"/>
      <c r="BA120" s="309"/>
      <c r="BB120" s="309"/>
      <c r="BC120" s="309"/>
      <c r="BD120" s="309"/>
      <c r="BE120" s="309"/>
      <c r="BF120" s="309"/>
      <c r="BG120" s="309"/>
      <c r="BH120" s="309"/>
      <c r="BI120" s="309"/>
      <c r="BJ120" s="309"/>
      <c r="BK120" s="309"/>
      <c r="BL120" s="309"/>
      <c r="BM120" s="309"/>
      <c r="BN120" s="309"/>
      <c r="BO120" s="309"/>
      <c r="BP120" s="309"/>
      <c r="BQ120" s="309"/>
      <c r="BR120" s="309"/>
      <c r="BS120" s="309"/>
      <c r="BT120" s="309"/>
      <c r="BU120" s="309"/>
      <c r="BV120" s="309"/>
      <c r="BW120" s="418" t="s">
        <v>457</v>
      </c>
      <c r="BX120" s="419"/>
      <c r="BY120" s="420"/>
      <c r="BZ120" s="368">
        <f>BZ119/HF_Runners</f>
        <v>4326</v>
      </c>
      <c r="CA120" s="309"/>
      <c r="CB120" s="309"/>
      <c r="CC120" s="309"/>
      <c r="CD120" s="309"/>
      <c r="CE120" s="309"/>
      <c r="CF120" s="309"/>
      <c r="CG120" s="309"/>
      <c r="CH120" s="309"/>
      <c r="CI120" s="309"/>
      <c r="CJ120" s="309"/>
      <c r="CK120" s="309"/>
      <c r="CL120" s="309"/>
      <c r="CM120" s="309"/>
      <c r="CN120" s="309"/>
      <c r="CO120" s="309"/>
      <c r="CP120" s="309"/>
    </row>
    <row r="121" spans="11:94" ht="15.75" hidden="1" customHeight="1" thickBot="1" x14ac:dyDescent="0.3">
      <c r="K121" s="306"/>
      <c r="L121" s="306"/>
      <c r="M121" s="306"/>
      <c r="N121" s="306"/>
      <c r="O121" s="306"/>
      <c r="P121" s="306"/>
      <c r="Q121" s="306"/>
      <c r="R121" s="306"/>
      <c r="S121" s="306"/>
      <c r="T121" s="306"/>
      <c r="U121" s="306"/>
      <c r="V121" s="306"/>
      <c r="W121" s="306"/>
      <c r="X121" s="306"/>
      <c r="Y121" s="306"/>
      <c r="Z121" s="306"/>
      <c r="AA121" s="306"/>
      <c r="AB121" s="306"/>
      <c r="AC121" s="306"/>
      <c r="AD121" s="306"/>
      <c r="AR121" s="309"/>
      <c r="AS121" s="309"/>
      <c r="AT121" s="309"/>
      <c r="AU121" s="309"/>
      <c r="AV121" s="309"/>
      <c r="AW121" s="309"/>
      <c r="AX121" s="309"/>
      <c r="AY121" s="309"/>
      <c r="AZ121" s="309"/>
      <c r="BA121" s="309"/>
      <c r="BB121" s="309"/>
      <c r="BC121" s="309"/>
      <c r="BD121" s="309"/>
      <c r="BE121" s="309"/>
      <c r="BF121" s="309"/>
      <c r="BG121" s="309"/>
      <c r="BH121" s="309"/>
      <c r="BI121" s="309"/>
      <c r="BJ121" s="309"/>
      <c r="BK121" s="309"/>
      <c r="BL121" s="309"/>
      <c r="BM121" s="309"/>
      <c r="BN121" s="309"/>
      <c r="BO121" s="309"/>
      <c r="BP121" s="309"/>
      <c r="BQ121" s="309"/>
      <c r="BR121" s="309"/>
      <c r="BS121" s="309"/>
      <c r="BT121" s="309"/>
      <c r="BU121" s="309"/>
      <c r="BV121" s="309"/>
      <c r="BW121" s="401" t="s">
        <v>458</v>
      </c>
      <c r="BX121" s="402"/>
      <c r="BY121" s="402"/>
      <c r="BZ121" s="393">
        <f>BZ120*HF_Food</f>
        <v>12978</v>
      </c>
      <c r="CA121" s="309"/>
      <c r="CB121" s="309"/>
      <c r="CC121" s="309"/>
      <c r="CD121" s="309"/>
      <c r="CE121" s="309"/>
      <c r="CF121" s="309"/>
      <c r="CG121" s="309"/>
      <c r="CH121" s="309"/>
      <c r="CI121" s="309"/>
      <c r="CJ121" s="309"/>
      <c r="CK121" s="309"/>
      <c r="CL121" s="309"/>
      <c r="CM121" s="309"/>
      <c r="CN121" s="309"/>
      <c r="CO121" s="309"/>
      <c r="CP121" s="309"/>
    </row>
    <row r="122" spans="11:94" ht="15" hidden="1" x14ac:dyDescent="0.25">
      <c r="K122" s="306"/>
      <c r="L122" s="306"/>
      <c r="M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6"/>
      <c r="X122" s="306"/>
      <c r="Y122" s="306"/>
      <c r="Z122" s="306"/>
      <c r="AA122" s="306"/>
      <c r="AB122" s="306"/>
      <c r="AC122" s="306"/>
      <c r="AD122" s="306"/>
      <c r="AR122" s="309"/>
      <c r="AS122" s="309"/>
      <c r="AT122" s="309"/>
      <c r="AU122" s="309"/>
      <c r="AV122" s="309"/>
      <c r="AW122" s="309"/>
      <c r="AX122" s="309"/>
      <c r="AY122" s="309"/>
      <c r="AZ122" s="309"/>
      <c r="BA122" s="309"/>
      <c r="BB122" s="309"/>
      <c r="BC122" s="309"/>
      <c r="BD122" s="309"/>
      <c r="BE122" s="309"/>
      <c r="BF122" s="309"/>
      <c r="BG122" s="309"/>
      <c r="BH122" s="309"/>
      <c r="BI122" s="309"/>
      <c r="BJ122" s="309"/>
      <c r="BK122" s="309"/>
      <c r="BL122" s="309"/>
      <c r="BM122" s="309"/>
      <c r="BN122" s="309"/>
      <c r="BO122" s="309"/>
      <c r="BP122" s="309"/>
      <c r="BQ122" s="309"/>
      <c r="BR122" s="309"/>
      <c r="BS122" s="309"/>
      <c r="BT122" s="309"/>
      <c r="BU122" s="309"/>
      <c r="BV122" s="309"/>
      <c r="BW122" s="309"/>
      <c r="BX122" s="309"/>
      <c r="BY122" s="309"/>
      <c r="BZ122" s="309"/>
      <c r="CA122" s="309"/>
      <c r="CB122" s="309"/>
      <c r="CC122" s="309"/>
      <c r="CD122" s="309"/>
      <c r="CE122" s="309"/>
      <c r="CF122" s="309"/>
      <c r="CG122" s="309"/>
      <c r="CH122" s="309"/>
      <c r="CI122" s="309"/>
      <c r="CJ122" s="309"/>
      <c r="CK122" s="309"/>
      <c r="CL122" s="309"/>
      <c r="CM122" s="309"/>
      <c r="CN122" s="309"/>
      <c r="CO122" s="309"/>
      <c r="CP122" s="309"/>
    </row>
    <row r="123" spans="11:94" ht="15" customHeight="1" x14ac:dyDescent="0.25">
      <c r="K123" s="306"/>
      <c r="L123" s="306"/>
      <c r="M123" s="306"/>
      <c r="N123" s="306"/>
      <c r="O123" s="306"/>
      <c r="P123" s="306"/>
      <c r="Q123" s="306"/>
      <c r="R123" s="306"/>
      <c r="S123" s="306"/>
      <c r="T123" s="306"/>
      <c r="U123" s="306"/>
      <c r="V123" s="306"/>
      <c r="W123" s="306"/>
      <c r="X123" s="306"/>
      <c r="Y123" s="306"/>
      <c r="Z123" s="306"/>
      <c r="AA123" s="306"/>
      <c r="AB123" s="306"/>
      <c r="AC123" s="306"/>
      <c r="AD123" s="306"/>
      <c r="AR123" s="309"/>
      <c r="AS123" s="309"/>
      <c r="AT123" s="309"/>
      <c r="AU123" s="309"/>
      <c r="AV123" s="309"/>
      <c r="AW123" s="309"/>
      <c r="AX123" s="309"/>
      <c r="AY123" s="309"/>
      <c r="AZ123" s="309"/>
      <c r="BA123" s="309"/>
      <c r="BB123" s="309"/>
      <c r="BC123" s="309"/>
      <c r="BD123" s="309"/>
      <c r="BE123" s="309"/>
      <c r="BF123" s="309"/>
      <c r="BG123" s="309"/>
      <c r="BH123" s="309"/>
      <c r="BI123" s="309"/>
      <c r="BJ123" s="309"/>
      <c r="BK123" s="309"/>
      <c r="BL123" s="309"/>
      <c r="BM123" s="309"/>
      <c r="BN123" s="309"/>
      <c r="BO123" s="309"/>
      <c r="BP123" s="309"/>
      <c r="BQ123" s="309"/>
      <c r="BR123" s="309"/>
      <c r="BS123" s="309"/>
      <c r="BT123" s="309"/>
      <c r="BU123" s="309"/>
      <c r="BV123" s="309"/>
      <c r="BW123" s="403" t="s">
        <v>331</v>
      </c>
      <c r="BX123" s="403"/>
      <c r="BY123" s="403"/>
      <c r="BZ123" s="403"/>
      <c r="CA123" s="309"/>
      <c r="CB123" s="309"/>
      <c r="CC123" s="309"/>
      <c r="CD123" s="309"/>
      <c r="CE123" s="309"/>
      <c r="CF123" s="309"/>
      <c r="CG123" s="309"/>
      <c r="CH123" s="309"/>
      <c r="CI123" s="309"/>
      <c r="CJ123" s="309"/>
      <c r="CK123" s="309"/>
      <c r="CL123" s="309"/>
      <c r="CM123" s="309"/>
      <c r="CN123" s="309"/>
      <c r="CO123" s="309"/>
      <c r="CP123" s="309"/>
    </row>
    <row r="124" spans="11:94" ht="15" x14ac:dyDescent="0.25">
      <c r="K124" s="306"/>
      <c r="L124" s="306"/>
      <c r="M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6"/>
      <c r="X124" s="306"/>
      <c r="Y124" s="306"/>
      <c r="Z124" s="306"/>
      <c r="AA124" s="306"/>
      <c r="AB124" s="306"/>
      <c r="AC124" s="306"/>
      <c r="AD124" s="306"/>
      <c r="AR124" s="309"/>
      <c r="AS124" s="309"/>
      <c r="AT124" s="309"/>
      <c r="AU124" s="309"/>
      <c r="AV124" s="309"/>
      <c r="AW124" s="309"/>
      <c r="AX124" s="309"/>
      <c r="AY124" s="309"/>
      <c r="AZ124" s="309"/>
      <c r="BA124" s="309"/>
      <c r="BB124" s="309"/>
      <c r="BC124" s="309"/>
      <c r="BD124" s="309"/>
      <c r="BE124" s="309"/>
      <c r="BF124" s="309"/>
      <c r="BG124" s="309"/>
      <c r="BH124" s="309"/>
      <c r="BI124" s="309"/>
      <c r="BJ124" s="309"/>
      <c r="BK124" s="309"/>
      <c r="BL124" s="309"/>
      <c r="BM124" s="309"/>
      <c r="BN124" s="309"/>
      <c r="BO124" s="309"/>
      <c r="BP124" s="309"/>
      <c r="BQ124" s="309"/>
      <c r="BR124" s="309"/>
      <c r="BS124" s="309"/>
      <c r="BT124" s="309"/>
      <c r="BU124" s="309"/>
      <c r="BV124" s="309"/>
      <c r="BW124" s="403"/>
      <c r="BX124" s="403"/>
      <c r="BY124" s="403"/>
      <c r="BZ124" s="403"/>
      <c r="CA124" s="309"/>
      <c r="CB124" s="309"/>
      <c r="CC124" s="309"/>
      <c r="CD124" s="309"/>
      <c r="CE124" s="309"/>
      <c r="CF124" s="309"/>
      <c r="CG124" s="309"/>
      <c r="CH124" s="309"/>
      <c r="CI124" s="309"/>
      <c r="CJ124" s="309"/>
      <c r="CK124" s="309"/>
      <c r="CL124" s="309"/>
      <c r="CM124" s="309"/>
      <c r="CN124" s="309"/>
      <c r="CO124" s="309"/>
      <c r="CP124" s="309"/>
    </row>
    <row r="125" spans="11:94" ht="15" x14ac:dyDescent="0.25">
      <c r="K125" s="306"/>
      <c r="L125" s="306"/>
      <c r="M125" s="306"/>
      <c r="N125" s="306"/>
      <c r="O125" s="306"/>
      <c r="P125" s="306"/>
      <c r="Q125" s="306"/>
      <c r="R125" s="306"/>
      <c r="S125" s="306"/>
      <c r="T125" s="306"/>
      <c r="U125" s="306"/>
      <c r="V125" s="306"/>
      <c r="W125" s="306"/>
      <c r="X125" s="306"/>
      <c r="Y125" s="306"/>
      <c r="Z125" s="306"/>
      <c r="AA125" s="306"/>
      <c r="AB125" s="306"/>
      <c r="AC125" s="306"/>
      <c r="AD125" s="306"/>
      <c r="AR125" s="309"/>
      <c r="AS125" s="309"/>
      <c r="AT125" s="309"/>
      <c r="AU125" s="309"/>
      <c r="AV125" s="309"/>
      <c r="AW125" s="309"/>
      <c r="AX125" s="309"/>
      <c r="AY125" s="309"/>
      <c r="AZ125" s="309"/>
      <c r="BA125" s="309"/>
      <c r="BB125" s="309"/>
      <c r="BC125" s="309"/>
      <c r="BD125" s="309"/>
      <c r="BE125" s="309"/>
      <c r="BF125" s="309"/>
      <c r="BG125" s="309"/>
      <c r="BH125" s="309"/>
      <c r="BI125" s="309"/>
      <c r="BJ125" s="309"/>
      <c r="BK125" s="309"/>
      <c r="BL125" s="309"/>
      <c r="BM125" s="309"/>
      <c r="BN125" s="309"/>
      <c r="BO125" s="309"/>
      <c r="BP125" s="309"/>
      <c r="BQ125" s="309"/>
      <c r="BR125" s="309"/>
      <c r="BS125" s="309"/>
      <c r="BT125" s="309"/>
      <c r="BU125" s="309"/>
      <c r="BV125" s="309"/>
      <c r="BW125" s="403"/>
      <c r="BX125" s="403"/>
      <c r="BY125" s="403"/>
      <c r="BZ125" s="403"/>
      <c r="CA125" s="309"/>
      <c r="CB125" s="309"/>
      <c r="CC125" s="309"/>
      <c r="CD125" s="309"/>
      <c r="CE125" s="309"/>
      <c r="CF125" s="309"/>
      <c r="CG125" s="309"/>
      <c r="CH125" s="309"/>
      <c r="CI125" s="309"/>
      <c r="CJ125" s="309"/>
      <c r="CK125" s="309"/>
      <c r="CL125" s="309"/>
      <c r="CM125" s="309"/>
      <c r="CN125" s="309"/>
      <c r="CO125" s="309"/>
      <c r="CP125" s="309"/>
    </row>
    <row r="126" spans="11:94" ht="15" x14ac:dyDescent="0.25">
      <c r="K126" s="306"/>
      <c r="L126" s="306"/>
      <c r="M126" s="306"/>
      <c r="N126" s="306"/>
      <c r="O126" s="306"/>
      <c r="P126" s="306"/>
      <c r="Q126" s="306"/>
      <c r="R126" s="306"/>
      <c r="S126" s="306"/>
      <c r="T126" s="306"/>
      <c r="U126" s="306"/>
      <c r="V126" s="306"/>
      <c r="W126" s="306"/>
      <c r="X126" s="306"/>
      <c r="Y126" s="306"/>
      <c r="Z126" s="306"/>
      <c r="AA126" s="306"/>
      <c r="AB126" s="306"/>
      <c r="AC126" s="306"/>
      <c r="AD126" s="306"/>
      <c r="AR126" s="309"/>
      <c r="AS126" s="309"/>
      <c r="AT126" s="309"/>
      <c r="AU126" s="309"/>
      <c r="AV126" s="309"/>
      <c r="AW126" s="309"/>
      <c r="AX126" s="309"/>
      <c r="AY126" s="309"/>
      <c r="AZ126" s="309"/>
      <c r="BA126" s="309"/>
      <c r="BB126" s="309"/>
      <c r="BC126" s="309"/>
      <c r="BD126" s="309"/>
      <c r="BE126" s="309"/>
      <c r="BF126" s="309"/>
      <c r="BG126" s="309"/>
      <c r="BH126" s="309"/>
      <c r="BI126" s="309"/>
      <c r="BJ126" s="309"/>
      <c r="BK126" s="309"/>
      <c r="BL126" s="309"/>
      <c r="BM126" s="309"/>
      <c r="BN126" s="309"/>
      <c r="BO126" s="309"/>
      <c r="BP126" s="309"/>
      <c r="BQ126" s="309"/>
      <c r="BR126" s="309"/>
      <c r="BS126" s="309"/>
      <c r="BT126" s="309"/>
      <c r="BU126" s="309"/>
      <c r="BV126" s="309"/>
      <c r="BW126" s="403"/>
      <c r="BX126" s="403"/>
      <c r="BY126" s="403"/>
      <c r="BZ126" s="403"/>
      <c r="CA126" s="309"/>
      <c r="CB126" s="309"/>
      <c r="CC126" s="309"/>
      <c r="CD126" s="309"/>
      <c r="CE126" s="309"/>
      <c r="CF126" s="309"/>
      <c r="CG126" s="309"/>
      <c r="CH126" s="309"/>
      <c r="CI126" s="309"/>
      <c r="CJ126" s="309"/>
      <c r="CK126" s="309"/>
      <c r="CL126" s="309"/>
      <c r="CM126" s="309"/>
      <c r="CN126" s="309"/>
      <c r="CO126" s="309"/>
      <c r="CP126" s="309"/>
    </row>
    <row r="127" spans="11:94" ht="15" x14ac:dyDescent="0.25">
      <c r="K127" s="306"/>
      <c r="L127" s="306"/>
      <c r="M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6"/>
      <c r="X127" s="306"/>
      <c r="Y127" s="306"/>
      <c r="Z127" s="306"/>
      <c r="AA127" s="306"/>
      <c r="AB127" s="306"/>
      <c r="AC127" s="306"/>
      <c r="AD127" s="306"/>
      <c r="AR127" s="309"/>
      <c r="AS127" s="309"/>
      <c r="AT127" s="309"/>
      <c r="AU127" s="309"/>
      <c r="AV127" s="309"/>
      <c r="AW127" s="309"/>
      <c r="AX127" s="309"/>
      <c r="AY127" s="309"/>
      <c r="AZ127" s="309"/>
      <c r="BA127" s="309"/>
      <c r="BB127" s="309"/>
      <c r="BC127" s="309"/>
      <c r="BD127" s="309"/>
      <c r="BE127" s="309"/>
      <c r="BF127" s="309"/>
      <c r="BG127" s="309"/>
      <c r="BH127" s="309"/>
      <c r="BI127" s="309"/>
      <c r="BJ127" s="309"/>
      <c r="BK127" s="309"/>
      <c r="BL127" s="309"/>
      <c r="BM127" s="309"/>
      <c r="BN127" s="309"/>
      <c r="BO127" s="309"/>
      <c r="BP127" s="309"/>
      <c r="BQ127" s="309"/>
      <c r="BR127" s="309"/>
      <c r="BS127" s="309"/>
      <c r="BT127" s="309"/>
      <c r="BU127" s="309"/>
      <c r="BV127" s="309"/>
      <c r="BW127" s="403"/>
      <c r="BX127" s="403"/>
      <c r="BY127" s="403"/>
      <c r="BZ127" s="403"/>
      <c r="CA127" s="309"/>
      <c r="CB127" s="309"/>
      <c r="CC127" s="309"/>
      <c r="CD127" s="309"/>
      <c r="CE127" s="309"/>
      <c r="CF127" s="309"/>
      <c r="CG127" s="309"/>
      <c r="CH127" s="309"/>
      <c r="CI127" s="309"/>
      <c r="CJ127" s="309"/>
      <c r="CK127" s="309"/>
      <c r="CL127" s="309"/>
      <c r="CM127" s="309"/>
      <c r="CN127" s="309"/>
      <c r="CO127" s="309"/>
      <c r="CP127" s="309"/>
    </row>
    <row r="128" spans="11:94" ht="15.75" x14ac:dyDescent="0.25">
      <c r="K128" s="306"/>
      <c r="L128" s="306"/>
      <c r="M128" s="306"/>
      <c r="N128" s="306"/>
      <c r="O128" s="306"/>
      <c r="P128" s="306"/>
      <c r="Q128" s="306"/>
      <c r="R128" s="306"/>
      <c r="S128" s="306"/>
      <c r="T128" s="306"/>
      <c r="U128" s="306"/>
      <c r="V128" s="306"/>
      <c r="W128" s="306"/>
      <c r="X128" s="306"/>
      <c r="Y128" s="306"/>
      <c r="Z128" s="306"/>
      <c r="AA128" s="306"/>
      <c r="AB128" s="306"/>
      <c r="AC128" s="306"/>
      <c r="AD128" s="306"/>
      <c r="AR128" s="309"/>
      <c r="AS128" s="397"/>
      <c r="AT128" s="397"/>
      <c r="AU128" s="397"/>
      <c r="AV128" s="397"/>
      <c r="AW128" s="309"/>
      <c r="AX128" s="309"/>
      <c r="AY128" s="309"/>
      <c r="AZ128" s="309"/>
      <c r="BA128" s="309"/>
      <c r="BB128" s="309"/>
      <c r="BC128" s="309"/>
      <c r="BD128" s="309"/>
      <c r="BE128" s="309"/>
      <c r="BF128" s="309"/>
      <c r="BG128" s="309"/>
      <c r="BH128" s="309"/>
      <c r="BI128" s="309"/>
      <c r="BJ128" s="309"/>
      <c r="BK128" s="309"/>
      <c r="BL128" s="309"/>
      <c r="BM128" s="309"/>
      <c r="BN128" s="309"/>
      <c r="BO128" s="309"/>
      <c r="BP128" s="309"/>
      <c r="BQ128" s="309"/>
      <c r="BR128" s="309"/>
      <c r="BS128" s="309"/>
      <c r="BT128" s="309"/>
      <c r="BU128" s="309"/>
      <c r="BV128" s="309"/>
      <c r="BW128" s="403"/>
      <c r="BX128" s="403"/>
      <c r="BY128" s="403"/>
      <c r="BZ128" s="403"/>
      <c r="CA128" s="309"/>
      <c r="CB128" s="309"/>
      <c r="CC128" s="309"/>
      <c r="CD128" s="309"/>
      <c r="CE128" s="309"/>
      <c r="CF128" s="309"/>
      <c r="CG128" s="309"/>
      <c r="CH128" s="309"/>
      <c r="CI128" s="309"/>
      <c r="CJ128" s="309"/>
      <c r="CK128" s="309"/>
      <c r="CL128" s="309"/>
      <c r="CM128" s="309"/>
      <c r="CN128" s="309"/>
      <c r="CO128" s="309"/>
      <c r="CP128" s="309"/>
    </row>
    <row r="129" spans="11:94" ht="15.75" x14ac:dyDescent="0.25">
      <c r="K129" s="306"/>
      <c r="L129" s="306"/>
      <c r="M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6"/>
      <c r="X129" s="306"/>
      <c r="Y129" s="306"/>
      <c r="Z129" s="306"/>
      <c r="AA129" s="306"/>
      <c r="AB129" s="306"/>
      <c r="AC129" s="306"/>
      <c r="AD129" s="306"/>
      <c r="AR129" s="309"/>
      <c r="AS129" s="397"/>
      <c r="AT129" s="397"/>
      <c r="AU129" s="397"/>
      <c r="AV129" s="397"/>
      <c r="AW129" s="309"/>
      <c r="AX129" s="309"/>
      <c r="AY129" s="309"/>
      <c r="AZ129" s="309"/>
      <c r="BA129" s="309"/>
      <c r="BB129" s="309"/>
      <c r="BC129" s="309"/>
      <c r="BD129" s="309"/>
      <c r="BE129" s="309"/>
      <c r="BF129" s="309"/>
      <c r="BG129" s="309"/>
      <c r="BH129" s="309"/>
      <c r="BI129" s="309"/>
      <c r="BJ129" s="309"/>
      <c r="BK129" s="309"/>
      <c r="BL129" s="309"/>
      <c r="BM129" s="309"/>
      <c r="BN129" s="309"/>
      <c r="BO129" s="309"/>
      <c r="BP129" s="309"/>
      <c r="BQ129" s="309"/>
      <c r="BR129" s="309"/>
      <c r="BS129" s="309"/>
      <c r="BT129" s="309"/>
      <c r="BU129" s="309"/>
      <c r="BV129" s="309"/>
      <c r="BW129" s="403"/>
      <c r="BX129" s="403"/>
      <c r="BY129" s="403"/>
      <c r="BZ129" s="403"/>
      <c r="CA129" s="309"/>
      <c r="CB129" s="309"/>
      <c r="CC129" s="309"/>
      <c r="CD129" s="309"/>
      <c r="CE129" s="309"/>
      <c r="CF129" s="309"/>
      <c r="CG129" s="309"/>
      <c r="CH129" s="309"/>
      <c r="CI129" s="309"/>
      <c r="CJ129" s="309"/>
      <c r="CK129" s="309"/>
      <c r="CL129" s="309"/>
      <c r="CM129" s="309"/>
      <c r="CN129" s="309"/>
      <c r="CO129" s="309"/>
      <c r="CP129" s="309"/>
    </row>
    <row r="130" spans="11:94" ht="15" x14ac:dyDescent="0.25">
      <c r="K130" s="306"/>
      <c r="L130" s="306"/>
      <c r="M130" s="306"/>
      <c r="N130" s="306"/>
      <c r="O130" s="306"/>
      <c r="P130" s="306"/>
      <c r="Q130" s="306"/>
      <c r="R130" s="306"/>
      <c r="S130" s="306"/>
      <c r="T130" s="306"/>
      <c r="U130" s="306"/>
      <c r="V130" s="306"/>
      <c r="W130" s="306"/>
      <c r="X130" s="306"/>
      <c r="Y130" s="306"/>
      <c r="Z130" s="306"/>
      <c r="AA130" s="306"/>
      <c r="AB130" s="306"/>
      <c r="AC130" s="306"/>
      <c r="AD130" s="306"/>
      <c r="AR130" s="309"/>
      <c r="AS130" s="309"/>
      <c r="AT130" s="309"/>
      <c r="AU130" s="309"/>
      <c r="AV130" s="309"/>
      <c r="AW130" s="309"/>
      <c r="AX130" s="309"/>
      <c r="AY130" s="309"/>
      <c r="AZ130" s="309"/>
      <c r="BA130" s="309"/>
      <c r="BB130" s="309"/>
      <c r="BC130" s="309"/>
      <c r="BD130" s="309"/>
      <c r="BE130" s="309"/>
      <c r="BF130" s="309"/>
      <c r="BG130" s="309"/>
      <c r="BH130" s="309"/>
      <c r="BI130" s="309"/>
      <c r="BJ130" s="309"/>
      <c r="BK130" s="309"/>
      <c r="BL130" s="309"/>
      <c r="BM130" s="309"/>
      <c r="BN130" s="309"/>
      <c r="BO130" s="309"/>
      <c r="BP130" s="309"/>
      <c r="BQ130" s="309"/>
      <c r="BR130" s="309"/>
      <c r="BS130" s="309"/>
      <c r="BT130" s="309"/>
      <c r="BU130" s="309"/>
      <c r="BV130" s="309"/>
      <c r="BW130" s="403"/>
      <c r="BX130" s="403"/>
      <c r="BY130" s="403"/>
      <c r="BZ130" s="403"/>
      <c r="CA130" s="309"/>
      <c r="CB130" s="309"/>
      <c r="CC130" s="309"/>
      <c r="CD130" s="309"/>
      <c r="CE130" s="309"/>
      <c r="CF130" s="309"/>
      <c r="CG130" s="309"/>
      <c r="CH130" s="309"/>
      <c r="CI130" s="309"/>
      <c r="CJ130" s="309"/>
      <c r="CK130" s="309"/>
      <c r="CL130" s="309"/>
      <c r="CM130" s="309"/>
      <c r="CN130" s="309"/>
      <c r="CO130" s="309"/>
      <c r="CP130" s="309"/>
    </row>
    <row r="131" spans="11:94" ht="15" x14ac:dyDescent="0.25"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  <c r="AR131" s="309"/>
      <c r="AS131" s="309"/>
      <c r="AT131" s="309"/>
      <c r="AU131" s="309"/>
      <c r="AV131" s="309"/>
      <c r="AW131" s="309"/>
      <c r="AX131" s="309"/>
      <c r="AY131" s="309"/>
      <c r="AZ131" s="309"/>
      <c r="BA131" s="309"/>
      <c r="BB131" s="309"/>
      <c r="BC131" s="309"/>
      <c r="BD131" s="309"/>
      <c r="BE131" s="309"/>
      <c r="BF131" s="309"/>
      <c r="BG131" s="309"/>
      <c r="BH131" s="309"/>
      <c r="BI131" s="309"/>
      <c r="BJ131" s="309"/>
      <c r="BK131" s="309"/>
      <c r="BL131" s="309"/>
      <c r="BM131" s="309"/>
      <c r="BN131" s="309"/>
      <c r="BO131" s="309"/>
      <c r="BP131" s="309"/>
      <c r="BQ131" s="309"/>
      <c r="BR131" s="309"/>
      <c r="BS131" s="309"/>
      <c r="BT131" s="309"/>
      <c r="BU131" s="309"/>
      <c r="BV131" s="309"/>
      <c r="BW131" s="403"/>
      <c r="BX131" s="403"/>
      <c r="BY131" s="403"/>
      <c r="BZ131" s="403"/>
      <c r="CA131" s="309"/>
      <c r="CB131" s="309"/>
      <c r="CC131" s="309"/>
      <c r="CD131" s="309"/>
      <c r="CE131" s="309"/>
      <c r="CF131" s="309"/>
      <c r="CG131" s="309"/>
      <c r="CH131" s="309"/>
      <c r="CI131" s="309"/>
      <c r="CJ131" s="309"/>
      <c r="CK131" s="309"/>
      <c r="CL131" s="309"/>
      <c r="CM131" s="309"/>
      <c r="CN131" s="309"/>
      <c r="CO131" s="309"/>
      <c r="CP131" s="309"/>
    </row>
    <row r="132" spans="11:94" ht="15" x14ac:dyDescent="0.25">
      <c r="K132" s="306"/>
      <c r="L132" s="306"/>
      <c r="M132" s="306"/>
      <c r="N132" s="306"/>
      <c r="O132" s="306"/>
      <c r="P132" s="306"/>
      <c r="Q132" s="306"/>
      <c r="R132" s="306"/>
      <c r="S132" s="306"/>
      <c r="T132" s="306"/>
      <c r="U132" s="306"/>
      <c r="V132" s="306"/>
      <c r="W132" s="306"/>
      <c r="X132" s="306"/>
      <c r="Y132" s="306"/>
      <c r="Z132" s="306"/>
      <c r="AA132" s="306"/>
      <c r="AB132" s="306"/>
      <c r="AC132" s="306"/>
      <c r="AD132" s="306"/>
      <c r="AR132" s="309"/>
      <c r="AS132" s="309"/>
      <c r="AT132" s="309"/>
      <c r="AU132" s="309"/>
      <c r="AV132" s="309"/>
      <c r="AW132" s="309"/>
      <c r="AX132" s="309"/>
      <c r="AY132" s="309"/>
      <c r="AZ132" s="309"/>
      <c r="BA132" s="309"/>
      <c r="BB132" s="309"/>
      <c r="BC132" s="309"/>
      <c r="BD132" s="309"/>
      <c r="BE132" s="309"/>
      <c r="BF132" s="309"/>
      <c r="BG132" s="309"/>
      <c r="BH132" s="309"/>
      <c r="BI132" s="309"/>
      <c r="BJ132" s="309"/>
      <c r="BK132" s="309"/>
      <c r="BL132" s="309"/>
      <c r="BM132" s="309"/>
      <c r="BN132" s="309"/>
      <c r="BO132" s="309"/>
      <c r="BP132" s="309"/>
      <c r="BQ132" s="309"/>
      <c r="BR132" s="309"/>
      <c r="BS132" s="309"/>
      <c r="BT132" s="309"/>
      <c r="BU132" s="309"/>
      <c r="BV132" s="309"/>
      <c r="BW132" s="403"/>
      <c r="BX132" s="403"/>
      <c r="BY132" s="403"/>
      <c r="BZ132" s="403"/>
      <c r="CA132" s="309"/>
      <c r="CB132" s="309"/>
      <c r="CC132" s="309"/>
      <c r="CD132" s="309"/>
      <c r="CE132" s="309"/>
      <c r="CF132" s="309"/>
      <c r="CG132" s="309"/>
      <c r="CH132" s="309"/>
      <c r="CI132" s="309"/>
      <c r="CJ132" s="309"/>
      <c r="CK132" s="309"/>
      <c r="CL132" s="309"/>
      <c r="CM132" s="309"/>
      <c r="CN132" s="309"/>
      <c r="CO132" s="309"/>
      <c r="CP132" s="309"/>
    </row>
    <row r="133" spans="11:94" ht="15" x14ac:dyDescent="0.25">
      <c r="K133" s="306"/>
      <c r="L133" s="306"/>
      <c r="M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6"/>
      <c r="X133" s="306"/>
      <c r="Y133" s="306"/>
      <c r="Z133" s="306"/>
      <c r="AA133" s="306"/>
      <c r="AB133" s="306"/>
      <c r="AC133" s="306"/>
      <c r="AD133" s="306"/>
      <c r="AR133" s="309"/>
      <c r="AS133" s="309"/>
      <c r="AT133" s="309"/>
      <c r="AU133" s="309"/>
      <c r="AV133" s="309"/>
      <c r="AW133" s="309"/>
      <c r="AX133" s="309"/>
      <c r="AY133" s="309"/>
      <c r="AZ133" s="309"/>
      <c r="BA133" s="309"/>
      <c r="BB133" s="309"/>
      <c r="BC133" s="309"/>
      <c r="BD133" s="309"/>
      <c r="BE133" s="309"/>
      <c r="BF133" s="309"/>
      <c r="BG133" s="309"/>
      <c r="BH133" s="309"/>
      <c r="BI133" s="309"/>
      <c r="BJ133" s="309"/>
      <c r="BK133" s="309"/>
      <c r="BL133" s="309"/>
      <c r="BM133" s="309"/>
      <c r="BN133" s="309"/>
      <c r="BO133" s="309"/>
      <c r="BP133" s="309"/>
      <c r="BQ133" s="309"/>
      <c r="BR133" s="309"/>
      <c r="BS133" s="309"/>
      <c r="BT133" s="309"/>
      <c r="BU133" s="309"/>
      <c r="BV133" s="309"/>
      <c r="BW133" s="309"/>
      <c r="BX133" s="309"/>
      <c r="BY133" s="309"/>
      <c r="BZ133" s="309"/>
      <c r="CA133" s="309"/>
      <c r="CB133" s="309"/>
      <c r="CC133" s="309"/>
      <c r="CD133" s="309"/>
      <c r="CE133" s="309"/>
      <c r="CF133" s="309"/>
      <c r="CG133" s="309"/>
      <c r="CH133" s="309"/>
      <c r="CI133" s="309"/>
      <c r="CJ133" s="309"/>
      <c r="CK133" s="309"/>
      <c r="CL133" s="309"/>
      <c r="CM133" s="309"/>
      <c r="CN133" s="309"/>
      <c r="CO133" s="309"/>
      <c r="CP133" s="309"/>
    </row>
    <row r="134" spans="11:94" ht="15" x14ac:dyDescent="0.25">
      <c r="K134" s="306"/>
      <c r="L134" s="306"/>
      <c r="M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6"/>
      <c r="X134" s="306"/>
      <c r="Y134" s="306"/>
      <c r="Z134" s="306"/>
      <c r="AA134" s="306"/>
      <c r="AB134" s="306"/>
      <c r="AC134" s="306"/>
      <c r="AD134" s="306"/>
      <c r="AR134" s="309"/>
      <c r="AS134" s="309"/>
      <c r="AT134" s="309"/>
      <c r="AU134" s="309"/>
      <c r="AV134" s="309"/>
      <c r="AW134" s="309"/>
      <c r="AX134" s="309"/>
      <c r="AY134" s="309"/>
      <c r="AZ134" s="309"/>
      <c r="BA134" s="309"/>
      <c r="BB134" s="309"/>
      <c r="BC134" s="309"/>
      <c r="BD134" s="309"/>
      <c r="BE134" s="309"/>
      <c r="BF134" s="309"/>
      <c r="BG134" s="309"/>
      <c r="BH134" s="309"/>
      <c r="BI134" s="309"/>
      <c r="BJ134" s="309"/>
      <c r="BK134" s="309"/>
      <c r="BL134" s="309"/>
      <c r="BM134" s="309"/>
      <c r="BN134" s="309"/>
      <c r="BO134" s="309"/>
      <c r="BP134" s="309"/>
      <c r="BQ134" s="309"/>
      <c r="BR134" s="309"/>
      <c r="BS134" s="309"/>
      <c r="BT134" s="309"/>
      <c r="BU134" s="309"/>
      <c r="BV134" s="309"/>
      <c r="BW134" s="309"/>
      <c r="BX134" s="309"/>
      <c r="BY134" s="309"/>
      <c r="BZ134" s="309"/>
      <c r="CA134" s="309"/>
      <c r="CB134" s="309"/>
      <c r="CC134" s="309"/>
      <c r="CD134" s="309"/>
      <c r="CE134" s="309"/>
      <c r="CF134" s="309"/>
      <c r="CG134" s="309"/>
      <c r="CH134" s="309"/>
      <c r="CI134" s="309"/>
      <c r="CJ134" s="309"/>
      <c r="CK134" s="309"/>
      <c r="CL134" s="309"/>
      <c r="CM134" s="309"/>
      <c r="CN134" s="309"/>
      <c r="CO134" s="309"/>
      <c r="CP134" s="309"/>
    </row>
    <row r="135" spans="11:94" ht="15" x14ac:dyDescent="0.25">
      <c r="K135" s="306"/>
      <c r="L135" s="306"/>
      <c r="M135" s="306"/>
      <c r="N135" s="306"/>
      <c r="O135" s="306"/>
      <c r="P135" s="306"/>
      <c r="Q135" s="306"/>
      <c r="R135" s="306"/>
      <c r="S135" s="306"/>
      <c r="T135" s="306"/>
      <c r="U135" s="306"/>
      <c r="V135" s="306"/>
      <c r="W135" s="306"/>
      <c r="X135" s="306"/>
      <c r="Y135" s="306"/>
      <c r="Z135" s="306"/>
      <c r="AA135" s="306"/>
      <c r="AB135" s="306"/>
      <c r="AC135" s="306"/>
      <c r="AD135" s="306"/>
      <c r="AR135" s="309"/>
      <c r="AS135" s="309"/>
      <c r="AT135" s="309"/>
      <c r="AU135" s="309"/>
      <c r="AV135" s="309"/>
      <c r="AW135" s="309"/>
      <c r="AX135" s="309"/>
      <c r="AY135" s="309"/>
      <c r="AZ135" s="309"/>
      <c r="BA135" s="309"/>
      <c r="BB135" s="309"/>
      <c r="BC135" s="309"/>
      <c r="BD135" s="309"/>
      <c r="BE135" s="309"/>
      <c r="BF135" s="309"/>
      <c r="BG135" s="309"/>
      <c r="BH135" s="309"/>
      <c r="BI135" s="309"/>
      <c r="BJ135" s="309"/>
      <c r="BK135" s="309"/>
      <c r="BL135" s="309"/>
      <c r="BM135" s="309"/>
      <c r="BN135" s="309"/>
      <c r="BO135" s="309"/>
      <c r="BP135" s="309"/>
      <c r="BQ135" s="309"/>
      <c r="BR135" s="309"/>
      <c r="BS135" s="309"/>
      <c r="BT135" s="309"/>
      <c r="BU135" s="309"/>
      <c r="BV135" s="309"/>
      <c r="BW135" s="309"/>
      <c r="BX135" s="309"/>
      <c r="BY135" s="309"/>
      <c r="BZ135" s="309"/>
      <c r="CA135" s="309"/>
      <c r="CB135" s="309"/>
      <c r="CC135" s="309"/>
      <c r="CD135" s="309"/>
      <c r="CE135" s="309"/>
      <c r="CF135" s="309"/>
      <c r="CG135" s="309"/>
      <c r="CH135" s="309"/>
      <c r="CI135" s="309"/>
      <c r="CJ135" s="309"/>
      <c r="CK135" s="309"/>
      <c r="CL135" s="309"/>
      <c r="CM135" s="309"/>
      <c r="CN135" s="309"/>
      <c r="CO135" s="309"/>
      <c r="CP135" s="309"/>
    </row>
    <row r="136" spans="11:94" ht="15" x14ac:dyDescent="0.25">
      <c r="K136" s="306"/>
      <c r="L136" s="306"/>
      <c r="M136" s="306"/>
      <c r="N136" s="306"/>
      <c r="O136" s="306"/>
      <c r="P136" s="306"/>
      <c r="Q136" s="306"/>
      <c r="R136" s="306"/>
      <c r="S136" s="306"/>
      <c r="T136" s="306"/>
      <c r="U136" s="306"/>
      <c r="V136" s="306"/>
      <c r="W136" s="306"/>
      <c r="X136" s="306"/>
      <c r="Y136" s="306"/>
      <c r="Z136" s="306"/>
      <c r="AA136" s="306"/>
      <c r="AB136" s="306"/>
      <c r="AC136" s="306"/>
      <c r="AD136" s="306"/>
      <c r="AR136" s="309"/>
      <c r="AS136" s="309"/>
      <c r="AT136" s="309"/>
      <c r="AU136" s="309"/>
      <c r="AV136" s="309"/>
      <c r="AW136" s="309"/>
      <c r="AX136" s="309"/>
      <c r="AY136" s="309"/>
      <c r="AZ136" s="309"/>
      <c r="BA136" s="309"/>
      <c r="BB136" s="309"/>
      <c r="BC136" s="309"/>
      <c r="BD136" s="309"/>
      <c r="BE136" s="309"/>
      <c r="BF136" s="309"/>
      <c r="BG136" s="309"/>
      <c r="BH136" s="309"/>
      <c r="BI136" s="309"/>
      <c r="BJ136" s="309"/>
      <c r="BK136" s="309"/>
      <c r="BL136" s="309"/>
      <c r="BM136" s="309"/>
      <c r="BN136" s="309"/>
      <c r="BO136" s="309"/>
      <c r="BP136" s="309"/>
      <c r="BQ136" s="309"/>
      <c r="BR136" s="309"/>
      <c r="BS136" s="309"/>
      <c r="BT136" s="309"/>
      <c r="BU136" s="309"/>
      <c r="BV136" s="309"/>
      <c r="BW136" s="309"/>
      <c r="BX136" s="309"/>
      <c r="BY136" s="309"/>
      <c r="BZ136" s="309"/>
      <c r="CA136" s="309"/>
      <c r="CB136" s="309"/>
      <c r="CC136" s="309"/>
      <c r="CD136" s="309"/>
      <c r="CE136" s="309"/>
      <c r="CF136" s="309"/>
      <c r="CG136" s="309"/>
      <c r="CH136" s="309"/>
      <c r="CI136" s="309"/>
      <c r="CJ136" s="309"/>
      <c r="CK136" s="309"/>
      <c r="CL136" s="309"/>
      <c r="CM136" s="309"/>
      <c r="CN136" s="309"/>
      <c r="CO136" s="309"/>
      <c r="CP136" s="309"/>
    </row>
    <row r="137" spans="11:94" ht="15" x14ac:dyDescent="0.25">
      <c r="K137" s="306"/>
      <c r="L137" s="306"/>
      <c r="M137" s="306"/>
      <c r="N137" s="306"/>
      <c r="O137" s="306"/>
      <c r="P137" s="306"/>
      <c r="Q137" s="306"/>
      <c r="R137" s="306"/>
      <c r="S137" s="306"/>
      <c r="T137" s="306"/>
      <c r="U137" s="306"/>
      <c r="V137" s="306"/>
      <c r="W137" s="306"/>
      <c r="X137" s="306"/>
      <c r="Y137" s="306"/>
      <c r="Z137" s="306"/>
      <c r="AA137" s="306"/>
      <c r="AB137" s="306"/>
      <c r="AC137" s="306"/>
      <c r="AD137" s="306"/>
      <c r="AR137" s="309"/>
      <c r="AS137" s="309"/>
      <c r="AT137" s="309"/>
      <c r="AU137" s="309"/>
      <c r="AV137" s="309"/>
      <c r="AW137" s="309"/>
      <c r="AX137" s="309"/>
      <c r="AY137" s="309"/>
      <c r="AZ137" s="309"/>
      <c r="BA137" s="309"/>
      <c r="BB137" s="309"/>
      <c r="BC137" s="309"/>
      <c r="BD137" s="309"/>
      <c r="BE137" s="309"/>
      <c r="BF137" s="309"/>
      <c r="BG137" s="309"/>
      <c r="BH137" s="309"/>
      <c r="BI137" s="309"/>
      <c r="BJ137" s="309"/>
      <c r="BK137" s="309"/>
      <c r="BL137" s="309"/>
      <c r="BM137" s="309"/>
      <c r="BN137" s="309"/>
      <c r="BO137" s="309"/>
      <c r="BP137" s="309"/>
      <c r="BQ137" s="309"/>
      <c r="BR137" s="309"/>
      <c r="BS137" s="309"/>
      <c r="BT137" s="309"/>
      <c r="BU137" s="309"/>
      <c r="BV137" s="309"/>
      <c r="BW137" s="309"/>
      <c r="BX137" s="309"/>
      <c r="BY137" s="309"/>
      <c r="BZ137" s="309"/>
      <c r="CA137" s="309"/>
      <c r="CB137" s="309"/>
      <c r="CC137" s="309"/>
      <c r="CD137" s="309"/>
      <c r="CE137" s="309"/>
      <c r="CF137" s="309"/>
      <c r="CG137" s="309"/>
      <c r="CH137" s="309"/>
      <c r="CI137" s="309"/>
      <c r="CJ137" s="309"/>
      <c r="CK137" s="309"/>
      <c r="CL137" s="309"/>
      <c r="CM137" s="309"/>
      <c r="CN137" s="309"/>
      <c r="CO137" s="309"/>
      <c r="CP137" s="309"/>
    </row>
    <row r="138" spans="11:94" ht="15" x14ac:dyDescent="0.25">
      <c r="K138" s="306"/>
      <c r="L138" s="306"/>
      <c r="M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6"/>
      <c r="X138" s="306"/>
      <c r="Y138" s="306"/>
      <c r="Z138" s="306"/>
      <c r="AA138" s="306"/>
      <c r="AB138" s="306"/>
      <c r="AC138" s="306"/>
      <c r="AD138" s="306"/>
      <c r="AR138" s="309"/>
      <c r="AS138" s="309"/>
      <c r="AT138" s="309"/>
      <c r="AU138" s="309"/>
      <c r="AV138" s="309"/>
      <c r="AW138" s="309"/>
      <c r="AX138" s="309"/>
      <c r="AY138" s="309"/>
      <c r="AZ138" s="309"/>
      <c r="BA138" s="309"/>
      <c r="BB138" s="309"/>
      <c r="BC138" s="309"/>
      <c r="BD138" s="309"/>
      <c r="BE138" s="309"/>
      <c r="BF138" s="309"/>
      <c r="BG138" s="309"/>
      <c r="BH138" s="309"/>
      <c r="BI138" s="309"/>
      <c r="BJ138" s="309"/>
      <c r="BK138" s="309"/>
      <c r="BL138" s="309"/>
      <c r="BM138" s="309"/>
      <c r="BN138" s="309"/>
      <c r="BO138" s="309"/>
      <c r="BP138" s="309"/>
      <c r="BQ138" s="309"/>
      <c r="BR138" s="309"/>
      <c r="BS138" s="309"/>
      <c r="BT138" s="309"/>
      <c r="BU138" s="309"/>
      <c r="BV138" s="309"/>
      <c r="BW138" s="309"/>
      <c r="BX138" s="309"/>
      <c r="BY138" s="309"/>
      <c r="BZ138" s="309"/>
      <c r="CA138" s="309"/>
      <c r="CB138" s="309"/>
      <c r="CC138" s="309"/>
      <c r="CD138" s="309"/>
      <c r="CE138" s="309"/>
      <c r="CF138" s="309"/>
      <c r="CG138" s="309"/>
      <c r="CH138" s="309"/>
      <c r="CI138" s="309"/>
      <c r="CJ138" s="309"/>
      <c r="CK138" s="309"/>
      <c r="CL138" s="309"/>
      <c r="CM138" s="309"/>
      <c r="CN138" s="309"/>
      <c r="CO138" s="309"/>
      <c r="CP138" s="309"/>
    </row>
    <row r="139" spans="11:94" ht="15" x14ac:dyDescent="0.25">
      <c r="K139" s="306"/>
      <c r="L139" s="306"/>
      <c r="M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6"/>
      <c r="X139" s="306"/>
      <c r="Y139" s="306"/>
      <c r="Z139" s="306"/>
      <c r="AA139" s="306"/>
      <c r="AB139" s="306"/>
      <c r="AC139" s="306"/>
      <c r="AD139" s="306"/>
      <c r="AR139" s="309"/>
      <c r="AS139" s="309"/>
      <c r="AT139" s="309"/>
      <c r="AU139" s="309"/>
      <c r="AV139" s="309"/>
      <c r="AW139" s="309"/>
      <c r="AX139" s="309"/>
      <c r="AY139" s="309"/>
      <c r="AZ139" s="309"/>
      <c r="BA139" s="309"/>
      <c r="BB139" s="309"/>
      <c r="BC139" s="309"/>
      <c r="BD139" s="309"/>
      <c r="BE139" s="309"/>
      <c r="BF139" s="309"/>
      <c r="BG139" s="309"/>
      <c r="BH139" s="309"/>
      <c r="BI139" s="309"/>
      <c r="BJ139" s="309"/>
      <c r="BK139" s="309"/>
      <c r="BL139" s="309"/>
      <c r="BM139" s="309"/>
      <c r="BN139" s="309"/>
      <c r="BO139" s="309"/>
      <c r="BP139" s="309"/>
      <c r="BQ139" s="309"/>
      <c r="BR139" s="309"/>
      <c r="BS139" s="309"/>
      <c r="BT139" s="309"/>
      <c r="BU139" s="309"/>
      <c r="BV139" s="309"/>
      <c r="BW139" s="309"/>
      <c r="BX139" s="309"/>
      <c r="BY139" s="309"/>
      <c r="BZ139" s="309"/>
      <c r="CA139" s="309"/>
      <c r="CB139" s="309"/>
      <c r="CC139" s="309"/>
      <c r="CD139" s="309"/>
      <c r="CE139" s="309"/>
      <c r="CF139" s="309"/>
      <c r="CG139" s="309"/>
      <c r="CH139" s="309"/>
      <c r="CI139" s="309"/>
      <c r="CJ139" s="309"/>
      <c r="CK139" s="309"/>
      <c r="CL139" s="309"/>
      <c r="CM139" s="309"/>
      <c r="CN139" s="309"/>
      <c r="CO139" s="309"/>
      <c r="CP139" s="309"/>
    </row>
    <row r="140" spans="11:94" ht="15" x14ac:dyDescent="0.25">
      <c r="K140" s="306"/>
      <c r="L140" s="306"/>
      <c r="M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6"/>
      <c r="X140" s="306"/>
      <c r="Y140" s="306"/>
      <c r="Z140" s="306"/>
      <c r="AA140" s="306"/>
      <c r="AB140" s="306"/>
      <c r="AC140" s="306"/>
      <c r="AD140" s="306"/>
      <c r="AR140" s="309"/>
      <c r="AS140" s="309"/>
      <c r="AT140" s="309"/>
      <c r="AU140" s="309"/>
      <c r="AV140" s="309"/>
      <c r="AW140" s="309"/>
      <c r="AX140" s="309"/>
      <c r="AY140" s="309"/>
      <c r="AZ140" s="309"/>
      <c r="BA140" s="309"/>
      <c r="BB140" s="309"/>
      <c r="BC140" s="309"/>
      <c r="BD140" s="309"/>
      <c r="BE140" s="309"/>
      <c r="BF140" s="309"/>
      <c r="BG140" s="309"/>
      <c r="BH140" s="309"/>
      <c r="BI140" s="309"/>
      <c r="BJ140" s="309"/>
      <c r="BK140" s="309"/>
      <c r="BL140" s="309"/>
      <c r="BM140" s="309"/>
      <c r="BN140" s="309"/>
      <c r="BO140" s="309"/>
      <c r="BP140" s="309"/>
      <c r="BQ140" s="309"/>
      <c r="BR140" s="309"/>
      <c r="BS140" s="309"/>
      <c r="BT140" s="309"/>
      <c r="BU140" s="309"/>
      <c r="BV140" s="309"/>
      <c r="BW140" s="309"/>
      <c r="BX140" s="309"/>
      <c r="BY140" s="309"/>
      <c r="BZ140" s="309"/>
      <c r="CA140" s="309"/>
      <c r="CB140" s="309"/>
      <c r="CC140" s="309"/>
      <c r="CD140" s="309"/>
      <c r="CE140" s="309"/>
      <c r="CF140" s="309"/>
      <c r="CG140" s="309"/>
      <c r="CH140" s="309"/>
      <c r="CI140" s="309"/>
      <c r="CJ140" s="309"/>
      <c r="CK140" s="309"/>
      <c r="CL140" s="309"/>
      <c r="CM140" s="309"/>
      <c r="CN140" s="309"/>
      <c r="CO140" s="309"/>
      <c r="CP140" s="309"/>
    </row>
    <row r="141" spans="11:94" ht="15" x14ac:dyDescent="0.25">
      <c r="K141" s="306"/>
      <c r="L141" s="306"/>
      <c r="M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6"/>
      <c r="X141" s="306"/>
      <c r="Y141" s="306"/>
      <c r="Z141" s="306"/>
      <c r="AA141" s="306"/>
      <c r="AB141" s="306"/>
      <c r="AC141" s="306"/>
      <c r="AD141" s="306"/>
      <c r="AR141" s="309"/>
      <c r="AS141" s="309"/>
      <c r="AT141" s="309"/>
      <c r="AU141" s="309"/>
      <c r="AV141" s="309"/>
      <c r="AW141" s="309"/>
      <c r="AX141" s="309"/>
      <c r="AY141" s="309"/>
      <c r="AZ141" s="309"/>
      <c r="BA141" s="309"/>
      <c r="BB141" s="309"/>
      <c r="BC141" s="309"/>
      <c r="BD141" s="309"/>
      <c r="BE141" s="309"/>
      <c r="BF141" s="309"/>
      <c r="BG141" s="309"/>
      <c r="BH141" s="309"/>
      <c r="BI141" s="309"/>
      <c r="BJ141" s="309"/>
      <c r="BK141" s="309"/>
      <c r="BL141" s="309"/>
      <c r="BM141" s="309"/>
      <c r="BN141" s="309"/>
      <c r="BO141" s="309"/>
      <c r="BP141" s="309"/>
      <c r="BQ141" s="309"/>
      <c r="BR141" s="309"/>
      <c r="BS141" s="309"/>
      <c r="BT141" s="309"/>
      <c r="BU141" s="309"/>
      <c r="BV141" s="309"/>
      <c r="BW141" s="309"/>
      <c r="BX141" s="309"/>
      <c r="BY141" s="309"/>
      <c r="BZ141" s="309"/>
      <c r="CA141" s="309"/>
      <c r="CB141" s="309"/>
      <c r="CC141" s="309"/>
      <c r="CD141" s="309"/>
      <c r="CE141" s="309"/>
      <c r="CF141" s="309"/>
      <c r="CG141" s="309"/>
      <c r="CH141" s="309"/>
      <c r="CI141" s="309"/>
      <c r="CJ141" s="309"/>
      <c r="CK141" s="309"/>
      <c r="CL141" s="309"/>
      <c r="CM141" s="309"/>
      <c r="CN141" s="309"/>
      <c r="CO141" s="309"/>
      <c r="CP141" s="309"/>
    </row>
    <row r="142" spans="11:94" ht="15" x14ac:dyDescent="0.25">
      <c r="K142" s="306"/>
      <c r="L142" s="306"/>
      <c r="M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6"/>
      <c r="X142" s="306"/>
      <c r="Y142" s="306"/>
      <c r="Z142" s="306"/>
      <c r="AA142" s="306"/>
      <c r="AB142" s="306"/>
      <c r="AC142" s="306"/>
      <c r="AD142" s="306"/>
      <c r="AR142" s="309"/>
      <c r="AS142" s="309"/>
      <c r="AT142" s="309"/>
      <c r="AU142" s="309"/>
      <c r="AV142" s="309"/>
      <c r="AW142" s="309"/>
      <c r="AX142" s="309"/>
      <c r="AY142" s="309"/>
      <c r="AZ142" s="309"/>
      <c r="BA142" s="309"/>
      <c r="BB142" s="309"/>
      <c r="BC142" s="309"/>
      <c r="BD142" s="309"/>
      <c r="BE142" s="309"/>
      <c r="BF142" s="309"/>
      <c r="BG142" s="309"/>
      <c r="BH142" s="309"/>
      <c r="BI142" s="309"/>
      <c r="BJ142" s="309"/>
      <c r="BK142" s="309"/>
      <c r="BL142" s="309"/>
      <c r="BM142" s="309"/>
      <c r="BN142" s="309"/>
      <c r="BO142" s="309"/>
      <c r="BP142" s="309"/>
      <c r="BQ142" s="309"/>
      <c r="BR142" s="309"/>
      <c r="BS142" s="309"/>
      <c r="BT142" s="309"/>
      <c r="BU142" s="309"/>
      <c r="BV142" s="309"/>
      <c r="BW142" s="309"/>
      <c r="BX142" s="309"/>
      <c r="BY142" s="309"/>
      <c r="BZ142" s="309"/>
      <c r="CA142" s="309"/>
      <c r="CB142" s="309"/>
      <c r="CC142" s="309"/>
      <c r="CD142" s="309"/>
      <c r="CE142" s="309"/>
      <c r="CF142" s="309"/>
      <c r="CG142" s="309"/>
      <c r="CH142" s="309"/>
      <c r="CI142" s="309"/>
      <c r="CJ142" s="309"/>
      <c r="CK142" s="309"/>
      <c r="CL142" s="309"/>
      <c r="CM142" s="309"/>
      <c r="CN142" s="309"/>
      <c r="CO142" s="309"/>
      <c r="CP142" s="309"/>
    </row>
    <row r="143" spans="11:94" ht="15" x14ac:dyDescent="0.25">
      <c r="K143" s="306"/>
      <c r="L143" s="306"/>
      <c r="M143" s="306"/>
      <c r="N143" s="306"/>
      <c r="O143" s="306"/>
      <c r="P143" s="306"/>
      <c r="Q143" s="306"/>
      <c r="R143" s="306"/>
      <c r="S143" s="306"/>
      <c r="T143" s="306"/>
      <c r="U143" s="306"/>
      <c r="V143" s="306"/>
      <c r="W143" s="306"/>
      <c r="X143" s="306"/>
      <c r="Y143" s="306"/>
      <c r="Z143" s="306"/>
      <c r="AA143" s="306"/>
      <c r="AB143" s="306"/>
      <c r="AC143" s="306"/>
      <c r="AD143" s="306"/>
      <c r="AR143" s="309"/>
      <c r="AS143" s="309"/>
      <c r="AT143" s="309"/>
      <c r="AU143" s="309"/>
      <c r="AV143" s="309"/>
      <c r="AW143" s="309"/>
      <c r="AX143" s="309"/>
      <c r="AY143" s="309"/>
      <c r="AZ143" s="309"/>
      <c r="BA143" s="309"/>
      <c r="BB143" s="309"/>
      <c r="BC143" s="309"/>
      <c r="BD143" s="309"/>
      <c r="BE143" s="309"/>
      <c r="BF143" s="309"/>
      <c r="BG143" s="309"/>
      <c r="BH143" s="309"/>
      <c r="BI143" s="309"/>
      <c r="BJ143" s="309"/>
      <c r="BK143" s="309"/>
      <c r="BL143" s="309"/>
      <c r="BM143" s="309"/>
      <c r="BN143" s="309"/>
      <c r="BO143" s="309"/>
      <c r="BP143" s="309"/>
      <c r="BQ143" s="309"/>
      <c r="BR143" s="309"/>
      <c r="BS143" s="309"/>
      <c r="BT143" s="309"/>
      <c r="BU143" s="309"/>
      <c r="BV143" s="309"/>
      <c r="BW143" s="309"/>
      <c r="BX143" s="309"/>
      <c r="BY143" s="309"/>
      <c r="BZ143" s="309"/>
      <c r="CA143" s="309"/>
      <c r="CB143" s="309"/>
      <c r="CC143" s="309"/>
      <c r="CD143" s="309"/>
      <c r="CE143" s="309"/>
      <c r="CF143" s="309"/>
      <c r="CG143" s="309"/>
      <c r="CH143" s="309"/>
      <c r="CI143" s="309"/>
      <c r="CJ143" s="309"/>
      <c r="CK143" s="309"/>
      <c r="CL143" s="309"/>
      <c r="CM143" s="309"/>
      <c r="CN143" s="309"/>
      <c r="CO143" s="309"/>
      <c r="CP143" s="309"/>
    </row>
    <row r="144" spans="11:94" x14ac:dyDescent="0.2">
      <c r="K144" s="306"/>
      <c r="L144" s="306"/>
      <c r="M144" s="306"/>
      <c r="N144" s="306"/>
      <c r="O144" s="306"/>
      <c r="P144" s="306"/>
      <c r="Q144" s="306"/>
      <c r="R144" s="306"/>
      <c r="S144" s="306"/>
      <c r="T144" s="306"/>
      <c r="U144" s="306"/>
      <c r="V144" s="306"/>
      <c r="W144" s="306"/>
      <c r="X144" s="306"/>
      <c r="Y144" s="306"/>
      <c r="Z144" s="306"/>
      <c r="AA144" s="306"/>
      <c r="AB144" s="306"/>
      <c r="AC144" s="306"/>
      <c r="AD144" s="306"/>
    </row>
    <row r="145" spans="11:30" x14ac:dyDescent="0.2">
      <c r="K145" s="306"/>
      <c r="L145" s="306"/>
      <c r="M145" s="306"/>
      <c r="N145" s="306"/>
      <c r="O145" s="306"/>
      <c r="P145" s="306"/>
      <c r="Q145" s="306"/>
      <c r="R145" s="306"/>
      <c r="S145" s="306"/>
      <c r="T145" s="306"/>
      <c r="U145" s="306"/>
      <c r="V145" s="306"/>
      <c r="W145" s="306"/>
      <c r="X145" s="306"/>
      <c r="Y145" s="306"/>
      <c r="Z145" s="306"/>
      <c r="AA145" s="306"/>
      <c r="AB145" s="306"/>
      <c r="AC145" s="306"/>
      <c r="AD145" s="306"/>
    </row>
    <row r="146" spans="11:30" x14ac:dyDescent="0.2">
      <c r="K146" s="306"/>
      <c r="L146" s="306"/>
      <c r="M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6"/>
      <c r="X146" s="306"/>
      <c r="Y146" s="306"/>
      <c r="Z146" s="306"/>
      <c r="AA146" s="306"/>
      <c r="AB146" s="306"/>
      <c r="AC146" s="306"/>
      <c r="AD146" s="306"/>
    </row>
    <row r="147" spans="11:30" x14ac:dyDescent="0.2">
      <c r="K147" s="306"/>
      <c r="L147" s="306"/>
      <c r="M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6"/>
      <c r="X147" s="306"/>
      <c r="Y147" s="306"/>
      <c r="Z147" s="306"/>
      <c r="AA147" s="306"/>
      <c r="AB147" s="306"/>
      <c r="AC147" s="306"/>
      <c r="AD147" s="306"/>
    </row>
    <row r="148" spans="11:30" x14ac:dyDescent="0.2">
      <c r="K148" s="306"/>
      <c r="L148" s="306"/>
      <c r="M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6"/>
      <c r="X148" s="306"/>
      <c r="Y148" s="306"/>
      <c r="Z148" s="306"/>
      <c r="AA148" s="306"/>
      <c r="AB148" s="306"/>
      <c r="AC148" s="306"/>
      <c r="AD148" s="306"/>
    </row>
    <row r="149" spans="11:30" x14ac:dyDescent="0.2">
      <c r="K149" s="306"/>
      <c r="L149" s="306"/>
      <c r="M149" s="306"/>
      <c r="N149" s="306"/>
      <c r="O149" s="306"/>
      <c r="P149" s="306"/>
      <c r="Q149" s="306"/>
      <c r="R149" s="306"/>
      <c r="S149" s="306"/>
      <c r="T149" s="306"/>
      <c r="U149" s="306"/>
      <c r="V149" s="306"/>
      <c r="W149" s="306"/>
      <c r="X149" s="306"/>
      <c r="Y149" s="306"/>
      <c r="Z149" s="306"/>
      <c r="AA149" s="306"/>
      <c r="AB149" s="306"/>
      <c r="AC149" s="306"/>
      <c r="AD149" s="306"/>
    </row>
    <row r="150" spans="11:30" x14ac:dyDescent="0.2">
      <c r="K150" s="306"/>
      <c r="L150" s="306"/>
      <c r="M150" s="306"/>
      <c r="N150" s="306"/>
      <c r="O150" s="306"/>
      <c r="P150" s="306"/>
      <c r="Q150" s="306"/>
      <c r="R150" s="306"/>
      <c r="S150" s="306"/>
      <c r="T150" s="306"/>
      <c r="U150" s="306"/>
      <c r="V150" s="306"/>
      <c r="W150" s="306"/>
      <c r="X150" s="306"/>
      <c r="Y150" s="306"/>
      <c r="Z150" s="306"/>
      <c r="AA150" s="306"/>
      <c r="AB150" s="306"/>
      <c r="AC150" s="306"/>
      <c r="AD150" s="306"/>
    </row>
    <row r="151" spans="11:30" x14ac:dyDescent="0.2">
      <c r="K151" s="306"/>
      <c r="L151" s="306"/>
      <c r="M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6"/>
      <c r="X151" s="306"/>
      <c r="Y151" s="306"/>
      <c r="Z151" s="306"/>
      <c r="AA151" s="306"/>
      <c r="AB151" s="306"/>
      <c r="AC151" s="306"/>
      <c r="AD151" s="306"/>
    </row>
    <row r="152" spans="11:30" x14ac:dyDescent="0.2">
      <c r="K152" s="306"/>
      <c r="L152" s="306"/>
      <c r="M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6"/>
      <c r="X152" s="306"/>
      <c r="Y152" s="306"/>
      <c r="Z152" s="306"/>
      <c r="AA152" s="306"/>
      <c r="AB152" s="306"/>
      <c r="AC152" s="306"/>
      <c r="AD152" s="306"/>
    </row>
    <row r="153" spans="11:30" x14ac:dyDescent="0.2">
      <c r="K153" s="306"/>
      <c r="L153" s="306"/>
      <c r="M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6"/>
      <c r="X153" s="306"/>
      <c r="Y153" s="306"/>
      <c r="Z153" s="306"/>
      <c r="AA153" s="306"/>
      <c r="AB153" s="306"/>
      <c r="AC153" s="306"/>
      <c r="AD153" s="306"/>
    </row>
    <row r="154" spans="11:30" x14ac:dyDescent="0.2">
      <c r="K154" s="306"/>
      <c r="L154" s="306"/>
      <c r="M154" s="306"/>
      <c r="N154" s="306"/>
      <c r="O154" s="306"/>
      <c r="P154" s="306"/>
      <c r="Q154" s="306"/>
      <c r="R154" s="306"/>
      <c r="S154" s="306"/>
      <c r="T154" s="306"/>
      <c r="U154" s="306"/>
      <c r="V154" s="306"/>
      <c r="W154" s="306"/>
      <c r="X154" s="306"/>
      <c r="Y154" s="306"/>
      <c r="Z154" s="306"/>
      <c r="AA154" s="306"/>
      <c r="AB154" s="306"/>
      <c r="AC154" s="306"/>
      <c r="AD154" s="306"/>
    </row>
    <row r="155" spans="11:30" x14ac:dyDescent="0.2">
      <c r="K155" s="306"/>
      <c r="L155" s="306"/>
      <c r="M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6"/>
      <c r="X155" s="306"/>
      <c r="Y155" s="306"/>
      <c r="Z155" s="306"/>
      <c r="AA155" s="306"/>
      <c r="AB155" s="306"/>
      <c r="AC155" s="306"/>
      <c r="AD155" s="306"/>
    </row>
    <row r="156" spans="11:30" x14ac:dyDescent="0.2">
      <c r="K156" s="306"/>
      <c r="L156" s="306"/>
      <c r="M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6"/>
      <c r="X156" s="306"/>
      <c r="Y156" s="306"/>
      <c r="Z156" s="306"/>
      <c r="AA156" s="306"/>
      <c r="AB156" s="306"/>
      <c r="AC156" s="306"/>
      <c r="AD156" s="306"/>
    </row>
    <row r="157" spans="11:30" x14ac:dyDescent="0.2">
      <c r="K157" s="306"/>
      <c r="L157" s="306"/>
      <c r="M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6"/>
      <c r="X157" s="306"/>
      <c r="Y157" s="306"/>
      <c r="Z157" s="306"/>
      <c r="AA157" s="306"/>
      <c r="AB157" s="306"/>
      <c r="AC157" s="306"/>
      <c r="AD157" s="306"/>
    </row>
    <row r="158" spans="11:30" x14ac:dyDescent="0.2">
      <c r="K158" s="306"/>
      <c r="L158" s="306"/>
      <c r="M158" s="306"/>
      <c r="N158" s="306"/>
      <c r="O158" s="306"/>
      <c r="P158" s="306"/>
      <c r="Q158" s="306"/>
      <c r="R158" s="306"/>
      <c r="S158" s="306"/>
      <c r="T158" s="306"/>
      <c r="U158" s="306"/>
      <c r="V158" s="306"/>
      <c r="W158" s="306"/>
      <c r="X158" s="306"/>
      <c r="Y158" s="306"/>
      <c r="Z158" s="306"/>
      <c r="AA158" s="306"/>
      <c r="AB158" s="306"/>
      <c r="AC158" s="306"/>
      <c r="AD158" s="306"/>
    </row>
    <row r="159" spans="11:30" x14ac:dyDescent="0.2"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6"/>
      <c r="X159" s="306"/>
      <c r="Y159" s="306"/>
      <c r="Z159" s="306"/>
      <c r="AA159" s="306"/>
      <c r="AB159" s="306"/>
      <c r="AC159" s="306"/>
      <c r="AD159" s="306"/>
    </row>
    <row r="160" spans="11:30" x14ac:dyDescent="0.2">
      <c r="K160" s="306"/>
      <c r="L160" s="306"/>
      <c r="M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6"/>
      <c r="X160" s="306"/>
      <c r="Y160" s="306"/>
      <c r="Z160" s="306"/>
      <c r="AA160" s="306"/>
      <c r="AB160" s="306"/>
      <c r="AC160" s="306"/>
      <c r="AD160" s="306"/>
    </row>
    <row r="161" spans="11:30" x14ac:dyDescent="0.2">
      <c r="K161" s="306"/>
      <c r="L161" s="306"/>
      <c r="M161" s="306"/>
      <c r="N161" s="306"/>
      <c r="O161" s="306"/>
      <c r="P161" s="306"/>
      <c r="Q161" s="306"/>
      <c r="R161" s="306"/>
      <c r="S161" s="306"/>
      <c r="T161" s="306"/>
      <c r="U161" s="306"/>
      <c r="V161" s="306"/>
      <c r="W161" s="306"/>
      <c r="X161" s="306"/>
      <c r="Y161" s="306"/>
      <c r="Z161" s="306"/>
      <c r="AA161" s="306"/>
      <c r="AB161" s="306"/>
      <c r="AC161" s="306"/>
      <c r="AD161" s="306"/>
    </row>
    <row r="162" spans="11:30" x14ac:dyDescent="0.2">
      <c r="K162" s="306"/>
      <c r="L162" s="306"/>
      <c r="M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6"/>
      <c r="X162" s="306"/>
      <c r="Y162" s="306"/>
      <c r="Z162" s="306"/>
      <c r="AA162" s="306"/>
      <c r="AB162" s="306"/>
      <c r="AC162" s="306"/>
      <c r="AD162" s="306"/>
    </row>
    <row r="163" spans="11:30" x14ac:dyDescent="0.2">
      <c r="K163" s="306"/>
      <c r="L163" s="306"/>
      <c r="M163" s="306"/>
      <c r="N163" s="306"/>
      <c r="O163" s="306"/>
      <c r="P163" s="306"/>
      <c r="Q163" s="306"/>
      <c r="R163" s="306"/>
      <c r="S163" s="306"/>
      <c r="T163" s="306"/>
      <c r="U163" s="306"/>
      <c r="V163" s="306"/>
      <c r="W163" s="306"/>
      <c r="X163" s="306"/>
      <c r="Y163" s="306"/>
      <c r="Z163" s="306"/>
      <c r="AA163" s="306"/>
      <c r="AB163" s="306"/>
      <c r="AC163" s="306"/>
      <c r="AD163" s="306"/>
    </row>
    <row r="164" spans="11:30" x14ac:dyDescent="0.2">
      <c r="K164" s="306"/>
      <c r="L164" s="306"/>
      <c r="M164" s="306"/>
      <c r="N164" s="306"/>
      <c r="O164" s="306"/>
      <c r="P164" s="306"/>
      <c r="Q164" s="306"/>
      <c r="R164" s="306"/>
      <c r="S164" s="306"/>
      <c r="T164" s="306"/>
      <c r="U164" s="306"/>
      <c r="V164" s="306"/>
      <c r="W164" s="306"/>
      <c r="X164" s="306"/>
      <c r="Y164" s="306"/>
      <c r="Z164" s="306"/>
      <c r="AA164" s="306"/>
      <c r="AB164" s="306"/>
      <c r="AC164" s="306"/>
      <c r="AD164" s="306"/>
    </row>
    <row r="165" spans="11:30" x14ac:dyDescent="0.2">
      <c r="K165" s="306"/>
      <c r="L165" s="306"/>
      <c r="M165" s="306"/>
      <c r="N165" s="306"/>
      <c r="O165" s="306"/>
      <c r="P165" s="306"/>
      <c r="Q165" s="306"/>
      <c r="R165" s="306"/>
      <c r="S165" s="306"/>
      <c r="T165" s="306"/>
      <c r="U165" s="306"/>
      <c r="V165" s="306"/>
      <c r="W165" s="306"/>
      <c r="X165" s="306"/>
      <c r="Y165" s="306"/>
      <c r="Z165" s="306"/>
      <c r="AA165" s="306"/>
      <c r="AB165" s="306"/>
      <c r="AC165" s="306"/>
      <c r="AD165" s="306"/>
    </row>
    <row r="166" spans="11:30" x14ac:dyDescent="0.2">
      <c r="K166" s="306"/>
      <c r="L166" s="306"/>
      <c r="M166" s="306"/>
      <c r="N166" s="306"/>
      <c r="O166" s="306"/>
      <c r="P166" s="306"/>
      <c r="Q166" s="306"/>
      <c r="R166" s="306"/>
      <c r="S166" s="306"/>
      <c r="T166" s="306"/>
      <c r="U166" s="306"/>
      <c r="V166" s="306"/>
      <c r="W166" s="306"/>
      <c r="X166" s="306"/>
      <c r="Y166" s="306"/>
      <c r="Z166" s="306"/>
      <c r="AA166" s="306"/>
      <c r="AB166" s="306"/>
      <c r="AC166" s="306"/>
      <c r="AD166" s="306"/>
    </row>
    <row r="167" spans="11:30" x14ac:dyDescent="0.2">
      <c r="K167" s="306"/>
      <c r="L167" s="306"/>
      <c r="M167" s="306"/>
      <c r="N167" s="306"/>
      <c r="O167" s="306"/>
      <c r="P167" s="306"/>
      <c r="Q167" s="306"/>
      <c r="R167" s="306"/>
      <c r="S167" s="306"/>
      <c r="T167" s="306"/>
      <c r="U167" s="306"/>
      <c r="V167" s="306"/>
      <c r="W167" s="306"/>
      <c r="X167" s="306"/>
      <c r="Y167" s="306"/>
      <c r="Z167" s="306"/>
      <c r="AA167" s="306"/>
      <c r="AB167" s="306"/>
      <c r="AC167" s="306"/>
      <c r="AD167" s="306"/>
    </row>
    <row r="168" spans="11:30" x14ac:dyDescent="0.2">
      <c r="K168" s="306"/>
      <c r="L168" s="306"/>
      <c r="M168" s="306"/>
      <c r="N168" s="306"/>
      <c r="O168" s="306"/>
      <c r="P168" s="306"/>
      <c r="Q168" s="306"/>
      <c r="R168" s="306"/>
      <c r="S168" s="306"/>
      <c r="T168" s="306"/>
      <c r="U168" s="306"/>
      <c r="V168" s="306"/>
      <c r="W168" s="306"/>
      <c r="X168" s="306"/>
      <c r="Y168" s="306"/>
      <c r="Z168" s="306"/>
      <c r="AA168" s="306"/>
      <c r="AB168" s="306"/>
      <c r="AC168" s="306"/>
      <c r="AD168" s="306"/>
    </row>
    <row r="169" spans="11:30" x14ac:dyDescent="0.2">
      <c r="K169" s="306"/>
      <c r="L169" s="306"/>
      <c r="M169" s="306"/>
      <c r="N169" s="306"/>
      <c r="O169" s="306"/>
      <c r="P169" s="306"/>
      <c r="Q169" s="306"/>
      <c r="R169" s="306"/>
      <c r="S169" s="306"/>
      <c r="T169" s="306"/>
      <c r="U169" s="306"/>
      <c r="V169" s="306"/>
      <c r="W169" s="306"/>
      <c r="X169" s="306"/>
      <c r="Y169" s="306"/>
      <c r="Z169" s="306"/>
      <c r="AA169" s="306"/>
      <c r="AB169" s="306"/>
      <c r="AC169" s="306"/>
      <c r="AD169" s="306"/>
    </row>
    <row r="170" spans="11:30" x14ac:dyDescent="0.2">
      <c r="K170" s="306"/>
      <c r="L170" s="306"/>
      <c r="M170" s="306"/>
      <c r="N170" s="306"/>
      <c r="O170" s="306"/>
      <c r="P170" s="306"/>
      <c r="Q170" s="306"/>
      <c r="R170" s="306"/>
      <c r="S170" s="306"/>
      <c r="T170" s="306"/>
      <c r="U170" s="306"/>
      <c r="V170" s="306"/>
      <c r="W170" s="306"/>
      <c r="X170" s="306"/>
      <c r="Y170" s="306"/>
      <c r="Z170" s="306"/>
      <c r="AA170" s="306"/>
      <c r="AB170" s="306"/>
      <c r="AC170" s="306"/>
      <c r="AD170" s="306"/>
    </row>
    <row r="171" spans="11:30" x14ac:dyDescent="0.2">
      <c r="K171" s="306"/>
      <c r="L171" s="306"/>
      <c r="M171" s="306"/>
      <c r="N171" s="306"/>
      <c r="O171" s="306"/>
      <c r="P171" s="306"/>
      <c r="Q171" s="306"/>
      <c r="R171" s="306"/>
      <c r="S171" s="306"/>
      <c r="T171" s="306"/>
      <c r="U171" s="306"/>
      <c r="V171" s="306"/>
      <c r="W171" s="306"/>
      <c r="X171" s="306"/>
      <c r="Y171" s="306"/>
      <c r="Z171" s="306"/>
      <c r="AA171" s="306"/>
      <c r="AB171" s="306"/>
      <c r="AC171" s="306"/>
      <c r="AD171" s="306"/>
    </row>
    <row r="172" spans="11:30" x14ac:dyDescent="0.2">
      <c r="K172" s="306"/>
      <c r="L172" s="306"/>
      <c r="M172" s="306"/>
      <c r="N172" s="306"/>
      <c r="O172" s="306"/>
      <c r="P172" s="306"/>
      <c r="Q172" s="306"/>
      <c r="R172" s="306"/>
      <c r="S172" s="306"/>
      <c r="T172" s="306"/>
      <c r="U172" s="306"/>
      <c r="V172" s="306"/>
      <c r="W172" s="306"/>
      <c r="X172" s="306"/>
      <c r="Y172" s="306"/>
      <c r="Z172" s="306"/>
      <c r="AA172" s="306"/>
      <c r="AB172" s="306"/>
      <c r="AC172" s="306"/>
      <c r="AD172" s="306"/>
    </row>
    <row r="173" spans="11:30" x14ac:dyDescent="0.2">
      <c r="K173" s="306"/>
      <c r="L173" s="306"/>
      <c r="M173" s="306"/>
      <c r="N173" s="306"/>
      <c r="O173" s="306"/>
      <c r="P173" s="306"/>
      <c r="Q173" s="306"/>
      <c r="R173" s="306"/>
      <c r="S173" s="306"/>
      <c r="T173" s="306"/>
      <c r="U173" s="306"/>
      <c r="V173" s="306"/>
      <c r="W173" s="306"/>
      <c r="X173" s="306"/>
      <c r="Y173" s="306"/>
      <c r="Z173" s="306"/>
      <c r="AA173" s="306"/>
      <c r="AB173" s="306"/>
      <c r="AC173" s="306"/>
      <c r="AD173" s="306"/>
    </row>
    <row r="174" spans="11:30" x14ac:dyDescent="0.2">
      <c r="K174" s="306"/>
      <c r="L174" s="306"/>
      <c r="M174" s="306"/>
      <c r="N174" s="306"/>
      <c r="O174" s="306"/>
      <c r="P174" s="306"/>
      <c r="Q174" s="306"/>
      <c r="R174" s="306"/>
      <c r="S174" s="306"/>
      <c r="T174" s="306"/>
      <c r="U174" s="306"/>
      <c r="V174" s="306"/>
      <c r="W174" s="306"/>
      <c r="X174" s="306"/>
      <c r="Y174" s="306"/>
      <c r="Z174" s="306"/>
      <c r="AA174" s="306"/>
      <c r="AB174" s="306"/>
      <c r="AC174" s="306"/>
      <c r="AD174" s="306"/>
    </row>
    <row r="175" spans="11:30" x14ac:dyDescent="0.2">
      <c r="K175" s="306"/>
      <c r="L175" s="306"/>
      <c r="M175" s="306"/>
      <c r="N175" s="306"/>
      <c r="O175" s="306"/>
      <c r="P175" s="306"/>
      <c r="Q175" s="306"/>
      <c r="R175" s="306"/>
      <c r="S175" s="306"/>
      <c r="T175" s="306"/>
      <c r="U175" s="306"/>
      <c r="V175" s="306"/>
      <c r="W175" s="306"/>
      <c r="X175" s="306"/>
      <c r="Y175" s="306"/>
      <c r="Z175" s="306"/>
      <c r="AA175" s="306"/>
      <c r="AB175" s="306"/>
      <c r="AC175" s="306"/>
      <c r="AD175" s="306"/>
    </row>
    <row r="176" spans="11:30" x14ac:dyDescent="0.2"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  <c r="AB176" s="306"/>
      <c r="AC176" s="306"/>
      <c r="AD176" s="306"/>
    </row>
    <row r="177" spans="11:30" x14ac:dyDescent="0.2">
      <c r="K177" s="306"/>
      <c r="L177" s="306"/>
      <c r="M177" s="306"/>
      <c r="N177" s="306"/>
      <c r="O177" s="306"/>
      <c r="P177" s="306"/>
      <c r="Q177" s="306"/>
      <c r="R177" s="306"/>
      <c r="S177" s="306"/>
      <c r="T177" s="306"/>
      <c r="U177" s="306"/>
      <c r="V177" s="306"/>
      <c r="W177" s="306"/>
      <c r="X177" s="306"/>
      <c r="Y177" s="306"/>
      <c r="Z177" s="306"/>
      <c r="AA177" s="306"/>
      <c r="AB177" s="306"/>
      <c r="AC177" s="306"/>
      <c r="AD177" s="306"/>
    </row>
    <row r="178" spans="11:30" x14ac:dyDescent="0.2">
      <c r="K178" s="306"/>
      <c r="L178" s="306"/>
      <c r="M178" s="306"/>
      <c r="N178" s="306"/>
      <c r="O178" s="306"/>
      <c r="P178" s="306"/>
      <c r="Q178" s="306"/>
      <c r="R178" s="306"/>
      <c r="S178" s="306"/>
      <c r="T178" s="306"/>
      <c r="U178" s="306"/>
      <c r="V178" s="306"/>
      <c r="W178" s="306"/>
      <c r="X178" s="306"/>
      <c r="Y178" s="306"/>
      <c r="Z178" s="306"/>
      <c r="AA178" s="306"/>
      <c r="AB178" s="306"/>
      <c r="AC178" s="306"/>
      <c r="AD178" s="306"/>
    </row>
    <row r="179" spans="11:30" x14ac:dyDescent="0.2"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  <c r="AB179" s="306"/>
      <c r="AC179" s="306"/>
      <c r="AD179" s="306"/>
    </row>
    <row r="180" spans="11:30" x14ac:dyDescent="0.2">
      <c r="K180" s="306"/>
      <c r="L180" s="306"/>
      <c r="M180" s="306"/>
      <c r="N180" s="306"/>
      <c r="O180" s="306"/>
      <c r="P180" s="306"/>
      <c r="Q180" s="306"/>
      <c r="R180" s="306"/>
      <c r="S180" s="306"/>
      <c r="T180" s="306"/>
      <c r="U180" s="306"/>
      <c r="V180" s="306"/>
      <c r="W180" s="306"/>
      <c r="X180" s="306"/>
      <c r="Y180" s="306"/>
      <c r="Z180" s="306"/>
      <c r="AA180" s="306"/>
      <c r="AB180" s="306"/>
      <c r="AC180" s="306"/>
      <c r="AD180" s="306"/>
    </row>
    <row r="181" spans="11:30" x14ac:dyDescent="0.2">
      <c r="K181" s="306"/>
      <c r="L181" s="306"/>
      <c r="M181" s="306"/>
      <c r="N181" s="306"/>
      <c r="O181" s="306"/>
      <c r="P181" s="306"/>
      <c r="Q181" s="306"/>
      <c r="R181" s="306"/>
      <c r="S181" s="306"/>
      <c r="T181" s="306"/>
      <c r="U181" s="306"/>
      <c r="V181" s="306"/>
      <c r="W181" s="306"/>
      <c r="X181" s="306"/>
      <c r="Y181" s="306"/>
      <c r="Z181" s="306"/>
      <c r="AA181" s="306"/>
      <c r="AB181" s="306"/>
      <c r="AC181" s="306"/>
      <c r="AD181" s="306"/>
    </row>
    <row r="182" spans="11:30" x14ac:dyDescent="0.2">
      <c r="K182" s="306"/>
      <c r="L182" s="306"/>
      <c r="M182" s="306"/>
      <c r="N182" s="306"/>
      <c r="O182" s="306"/>
      <c r="P182" s="306"/>
      <c r="Q182" s="306"/>
      <c r="R182" s="306"/>
      <c r="S182" s="306"/>
      <c r="T182" s="306"/>
      <c r="U182" s="306"/>
      <c r="V182" s="306"/>
      <c r="W182" s="306"/>
      <c r="X182" s="306"/>
      <c r="Y182" s="306"/>
      <c r="Z182" s="306"/>
      <c r="AA182" s="306"/>
      <c r="AB182" s="306"/>
      <c r="AC182" s="306"/>
      <c r="AD182" s="306"/>
    </row>
    <row r="183" spans="11:30" x14ac:dyDescent="0.2">
      <c r="K183" s="306"/>
      <c r="L183" s="306"/>
      <c r="M183" s="306"/>
      <c r="N183" s="306"/>
      <c r="O183" s="306"/>
      <c r="P183" s="306"/>
      <c r="Q183" s="306"/>
      <c r="R183" s="306"/>
      <c r="S183" s="306"/>
      <c r="T183" s="306"/>
      <c r="U183" s="306"/>
      <c r="V183" s="306"/>
      <c r="W183" s="306"/>
      <c r="X183" s="306"/>
      <c r="Y183" s="306"/>
      <c r="Z183" s="306"/>
      <c r="AA183" s="306"/>
      <c r="AB183" s="306"/>
      <c r="AC183" s="306"/>
      <c r="AD183" s="306"/>
    </row>
    <row r="184" spans="11:30" x14ac:dyDescent="0.2">
      <c r="K184" s="306"/>
      <c r="L184" s="306"/>
      <c r="M184" s="306"/>
      <c r="N184" s="306"/>
      <c r="O184" s="306"/>
      <c r="P184" s="306"/>
      <c r="Q184" s="306"/>
      <c r="R184" s="306"/>
      <c r="S184" s="306"/>
      <c r="T184" s="306"/>
      <c r="U184" s="306"/>
      <c r="V184" s="306"/>
      <c r="W184" s="306"/>
      <c r="X184" s="306"/>
      <c r="Y184" s="306"/>
      <c r="Z184" s="306"/>
      <c r="AA184" s="306"/>
      <c r="AB184" s="306"/>
      <c r="AC184" s="306"/>
      <c r="AD184" s="306"/>
    </row>
    <row r="185" spans="11:30" x14ac:dyDescent="0.2">
      <c r="K185" s="306"/>
      <c r="L185" s="306"/>
      <c r="M185" s="306"/>
      <c r="N185" s="306"/>
      <c r="O185" s="306"/>
      <c r="P185" s="306"/>
      <c r="Q185" s="306"/>
      <c r="R185" s="306"/>
      <c r="S185" s="306"/>
      <c r="T185" s="306"/>
      <c r="U185" s="306"/>
      <c r="V185" s="306"/>
      <c r="W185" s="306"/>
      <c r="X185" s="306"/>
      <c r="Y185" s="306"/>
      <c r="Z185" s="306"/>
      <c r="AA185" s="306"/>
      <c r="AB185" s="306"/>
      <c r="AC185" s="306"/>
      <c r="AD185" s="306"/>
    </row>
    <row r="186" spans="11:30" x14ac:dyDescent="0.2">
      <c r="K186" s="306"/>
      <c r="L186" s="306"/>
      <c r="M186" s="306"/>
      <c r="N186" s="306"/>
      <c r="O186" s="306"/>
      <c r="P186" s="306"/>
      <c r="Q186" s="306"/>
      <c r="R186" s="306"/>
      <c r="S186" s="306"/>
      <c r="T186" s="306"/>
      <c r="U186" s="306"/>
      <c r="V186" s="306"/>
      <c r="W186" s="306"/>
      <c r="X186" s="306"/>
      <c r="Y186" s="306"/>
      <c r="Z186" s="306"/>
      <c r="AA186" s="306"/>
      <c r="AB186" s="306"/>
      <c r="AC186" s="306"/>
      <c r="AD186" s="306"/>
    </row>
    <row r="187" spans="11:30" x14ac:dyDescent="0.2">
      <c r="K187" s="306"/>
      <c r="L187" s="306"/>
      <c r="M187" s="306"/>
      <c r="N187" s="306"/>
      <c r="O187" s="306"/>
      <c r="P187" s="306"/>
      <c r="Q187" s="306"/>
      <c r="R187" s="306"/>
      <c r="S187" s="306"/>
      <c r="T187" s="306"/>
      <c r="U187" s="306"/>
      <c r="V187" s="306"/>
      <c r="W187" s="306"/>
      <c r="X187" s="306"/>
      <c r="Y187" s="306"/>
      <c r="Z187" s="306"/>
      <c r="AA187" s="306"/>
      <c r="AB187" s="306"/>
      <c r="AC187" s="306"/>
      <c r="AD187" s="306"/>
    </row>
    <row r="188" spans="11:30" x14ac:dyDescent="0.2">
      <c r="K188" s="306"/>
      <c r="L188" s="306"/>
      <c r="M188" s="306"/>
      <c r="N188" s="306"/>
      <c r="O188" s="306"/>
      <c r="P188" s="306"/>
      <c r="Q188" s="306"/>
      <c r="R188" s="306"/>
      <c r="S188" s="306"/>
      <c r="T188" s="306"/>
      <c r="U188" s="306"/>
      <c r="V188" s="306"/>
      <c r="W188" s="306"/>
      <c r="X188" s="306"/>
      <c r="Y188" s="306"/>
      <c r="Z188" s="306"/>
      <c r="AA188" s="306"/>
      <c r="AB188" s="306"/>
      <c r="AC188" s="306"/>
      <c r="AD188" s="306"/>
    </row>
    <row r="189" spans="11:30" x14ac:dyDescent="0.2">
      <c r="K189" s="306"/>
      <c r="L189" s="306"/>
      <c r="M189" s="306"/>
      <c r="N189" s="306"/>
      <c r="O189" s="306"/>
      <c r="P189" s="306"/>
      <c r="Q189" s="306"/>
      <c r="R189" s="306"/>
      <c r="S189" s="306"/>
      <c r="T189" s="306"/>
      <c r="U189" s="306"/>
      <c r="V189" s="306"/>
      <c r="W189" s="306"/>
      <c r="X189" s="306"/>
      <c r="Y189" s="306"/>
      <c r="Z189" s="306"/>
      <c r="AA189" s="306"/>
      <c r="AB189" s="306"/>
      <c r="AC189" s="306"/>
      <c r="AD189" s="306"/>
    </row>
    <row r="190" spans="11:30" x14ac:dyDescent="0.2">
      <c r="K190" s="306"/>
      <c r="L190" s="306"/>
      <c r="M190" s="306"/>
      <c r="N190" s="306"/>
      <c r="O190" s="306"/>
      <c r="P190" s="306"/>
      <c r="Q190" s="306"/>
      <c r="R190" s="306"/>
      <c r="S190" s="306"/>
      <c r="T190" s="306"/>
      <c r="U190" s="306"/>
      <c r="V190" s="306"/>
      <c r="W190" s="306"/>
      <c r="X190" s="306"/>
      <c r="Y190" s="306"/>
      <c r="Z190" s="306"/>
      <c r="AA190" s="306"/>
      <c r="AB190" s="306"/>
      <c r="AC190" s="306"/>
      <c r="AD190" s="306"/>
    </row>
    <row r="191" spans="11:30" x14ac:dyDescent="0.2">
      <c r="K191" s="306"/>
      <c r="L191" s="306"/>
      <c r="M191" s="306"/>
      <c r="N191" s="306"/>
      <c r="O191" s="306"/>
      <c r="P191" s="306"/>
      <c r="Q191" s="306"/>
      <c r="R191" s="306"/>
      <c r="S191" s="306"/>
      <c r="T191" s="306"/>
      <c r="U191" s="306"/>
      <c r="V191" s="306"/>
      <c r="W191" s="306"/>
      <c r="X191" s="306"/>
      <c r="Y191" s="306"/>
      <c r="Z191" s="306"/>
      <c r="AA191" s="306"/>
      <c r="AB191" s="306"/>
      <c r="AC191" s="306"/>
      <c r="AD191" s="306"/>
    </row>
    <row r="192" spans="11:30" x14ac:dyDescent="0.2">
      <c r="K192" s="306"/>
      <c r="L192" s="306"/>
      <c r="M192" s="306"/>
      <c r="N192" s="306"/>
      <c r="O192" s="306"/>
      <c r="P192" s="306"/>
      <c r="Q192" s="306"/>
      <c r="R192" s="306"/>
      <c r="S192" s="306"/>
      <c r="T192" s="306"/>
      <c r="U192" s="306"/>
      <c r="V192" s="306"/>
      <c r="W192" s="306"/>
      <c r="X192" s="306"/>
      <c r="Y192" s="306"/>
      <c r="Z192" s="306"/>
      <c r="AA192" s="306"/>
      <c r="AB192" s="306"/>
      <c r="AC192" s="306"/>
      <c r="AD192" s="306"/>
    </row>
    <row r="193" spans="11:30" x14ac:dyDescent="0.2">
      <c r="K193" s="306"/>
      <c r="L193" s="306"/>
      <c r="M193" s="306"/>
      <c r="N193" s="306"/>
      <c r="O193" s="306"/>
      <c r="P193" s="306"/>
      <c r="Q193" s="306"/>
      <c r="R193" s="306"/>
      <c r="S193" s="306"/>
      <c r="T193" s="306"/>
      <c r="U193" s="306"/>
      <c r="V193" s="306"/>
      <c r="W193" s="306"/>
      <c r="X193" s="306"/>
      <c r="Y193" s="306"/>
      <c r="Z193" s="306"/>
      <c r="AA193" s="306"/>
      <c r="AB193" s="306"/>
      <c r="AC193" s="306"/>
      <c r="AD193" s="306"/>
    </row>
    <row r="194" spans="11:30" x14ac:dyDescent="0.2">
      <c r="K194" s="306"/>
      <c r="L194" s="306"/>
      <c r="M194" s="306"/>
      <c r="N194" s="306"/>
      <c r="O194" s="306"/>
      <c r="P194" s="306"/>
      <c r="Q194" s="306"/>
      <c r="R194" s="306"/>
      <c r="S194" s="306"/>
      <c r="T194" s="306"/>
      <c r="U194" s="306"/>
      <c r="V194" s="306"/>
      <c r="W194" s="306"/>
      <c r="X194" s="306"/>
      <c r="Y194" s="306"/>
      <c r="Z194" s="306"/>
      <c r="AA194" s="306"/>
      <c r="AB194" s="306"/>
      <c r="AC194" s="306"/>
      <c r="AD194" s="306"/>
    </row>
    <row r="195" spans="11:30" x14ac:dyDescent="0.2">
      <c r="K195" s="306"/>
      <c r="L195" s="306"/>
      <c r="M195" s="306"/>
      <c r="N195" s="306"/>
      <c r="O195" s="306"/>
      <c r="P195" s="306"/>
      <c r="Q195" s="306"/>
      <c r="R195" s="306"/>
      <c r="S195" s="306"/>
      <c r="T195" s="306"/>
      <c r="U195" s="306"/>
      <c r="V195" s="306"/>
      <c r="W195" s="306"/>
      <c r="X195" s="306"/>
      <c r="Y195" s="306"/>
      <c r="Z195" s="306"/>
      <c r="AA195" s="306"/>
      <c r="AB195" s="306"/>
      <c r="AC195" s="306"/>
      <c r="AD195" s="306"/>
    </row>
    <row r="196" spans="11:30" x14ac:dyDescent="0.2">
      <c r="K196" s="306"/>
      <c r="L196" s="306"/>
      <c r="M196" s="306"/>
      <c r="N196" s="306"/>
      <c r="O196" s="306"/>
      <c r="P196" s="306"/>
      <c r="Q196" s="306"/>
      <c r="R196" s="306"/>
      <c r="S196" s="306"/>
      <c r="T196" s="306"/>
      <c r="U196" s="306"/>
      <c r="V196" s="306"/>
      <c r="W196" s="306"/>
      <c r="X196" s="306"/>
      <c r="Y196" s="306"/>
      <c r="Z196" s="306"/>
      <c r="AA196" s="306"/>
      <c r="AB196" s="306"/>
      <c r="AC196" s="306"/>
      <c r="AD196" s="306"/>
    </row>
    <row r="197" spans="11:30" x14ac:dyDescent="0.2">
      <c r="K197" s="306"/>
      <c r="L197" s="306"/>
      <c r="M197" s="306"/>
      <c r="N197" s="306"/>
      <c r="O197" s="306"/>
      <c r="P197" s="306"/>
      <c r="Q197" s="306"/>
      <c r="R197" s="306"/>
      <c r="S197" s="306"/>
      <c r="T197" s="306"/>
      <c r="U197" s="306"/>
      <c r="V197" s="306"/>
      <c r="W197" s="306"/>
      <c r="X197" s="306"/>
      <c r="Y197" s="306"/>
      <c r="Z197" s="306"/>
      <c r="AA197" s="306"/>
      <c r="AB197" s="306"/>
      <c r="AC197" s="306"/>
      <c r="AD197" s="306"/>
    </row>
    <row r="198" spans="11:30" x14ac:dyDescent="0.2">
      <c r="K198" s="306"/>
      <c r="L198" s="306"/>
      <c r="M198" s="306"/>
      <c r="N198" s="306"/>
      <c r="O198" s="306"/>
      <c r="P198" s="306"/>
      <c r="Q198" s="306"/>
      <c r="R198" s="306"/>
      <c r="S198" s="306"/>
      <c r="T198" s="306"/>
      <c r="U198" s="306"/>
      <c r="V198" s="306"/>
      <c r="W198" s="306"/>
      <c r="X198" s="306"/>
      <c r="Y198" s="306"/>
      <c r="Z198" s="306"/>
      <c r="AA198" s="306"/>
      <c r="AB198" s="306"/>
      <c r="AC198" s="306"/>
      <c r="AD198" s="306"/>
    </row>
    <row r="199" spans="11:30" x14ac:dyDescent="0.2">
      <c r="K199" s="306"/>
      <c r="L199" s="306"/>
      <c r="M199" s="306"/>
      <c r="N199" s="306"/>
      <c r="O199" s="306"/>
      <c r="P199" s="306"/>
      <c r="Q199" s="306"/>
      <c r="R199" s="306"/>
      <c r="S199" s="306"/>
      <c r="T199" s="306"/>
      <c r="U199" s="306"/>
      <c r="V199" s="306"/>
      <c r="W199" s="306"/>
      <c r="X199" s="306"/>
      <c r="Y199" s="306"/>
      <c r="Z199" s="306"/>
      <c r="AA199" s="306"/>
      <c r="AB199" s="306"/>
      <c r="AC199" s="306"/>
      <c r="AD199" s="306"/>
    </row>
    <row r="200" spans="11:30" x14ac:dyDescent="0.2">
      <c r="K200" s="306"/>
      <c r="L200" s="306"/>
      <c r="M200" s="306"/>
      <c r="N200" s="306"/>
      <c r="O200" s="306"/>
      <c r="P200" s="306"/>
      <c r="Q200" s="306"/>
      <c r="R200" s="306"/>
      <c r="S200" s="306"/>
      <c r="T200" s="306"/>
      <c r="U200" s="306"/>
      <c r="V200" s="306"/>
      <c r="W200" s="306"/>
      <c r="X200" s="306"/>
      <c r="Y200" s="306"/>
      <c r="Z200" s="306"/>
      <c r="AA200" s="306"/>
      <c r="AB200" s="306"/>
      <c r="AC200" s="306"/>
      <c r="AD200" s="306"/>
    </row>
    <row r="201" spans="11:30" x14ac:dyDescent="0.2">
      <c r="K201" s="306"/>
      <c r="L201" s="306"/>
      <c r="M201" s="306"/>
      <c r="N201" s="306"/>
      <c r="O201" s="306"/>
      <c r="P201" s="306"/>
      <c r="Q201" s="306"/>
      <c r="R201" s="306"/>
      <c r="S201" s="306"/>
      <c r="T201" s="306"/>
      <c r="U201" s="306"/>
      <c r="V201" s="306"/>
      <c r="W201" s="306"/>
      <c r="X201" s="306"/>
      <c r="Y201" s="306"/>
      <c r="Z201" s="306"/>
      <c r="AA201" s="306"/>
      <c r="AB201" s="306"/>
      <c r="AC201" s="306"/>
      <c r="AD201" s="306"/>
    </row>
    <row r="202" spans="11:30" x14ac:dyDescent="0.2">
      <c r="K202" s="306"/>
      <c r="L202" s="306"/>
      <c r="M202" s="306"/>
      <c r="N202" s="306"/>
      <c r="O202" s="306"/>
      <c r="P202" s="306"/>
      <c r="Q202" s="306"/>
      <c r="R202" s="306"/>
      <c r="S202" s="306"/>
      <c r="T202" s="306"/>
      <c r="U202" s="306"/>
      <c r="V202" s="306"/>
      <c r="W202" s="306"/>
      <c r="X202" s="306"/>
      <c r="Y202" s="306"/>
      <c r="Z202" s="306"/>
      <c r="AA202" s="306"/>
      <c r="AB202" s="306"/>
      <c r="AC202" s="306"/>
      <c r="AD202" s="306"/>
    </row>
    <row r="203" spans="11:30" x14ac:dyDescent="0.2"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</row>
    <row r="204" spans="11:30" x14ac:dyDescent="0.2">
      <c r="K204" s="306"/>
      <c r="L204" s="306"/>
      <c r="M204" s="306"/>
      <c r="N204" s="306"/>
      <c r="O204" s="306"/>
      <c r="P204" s="306"/>
      <c r="Q204" s="306"/>
      <c r="R204" s="306"/>
      <c r="S204" s="306"/>
      <c r="T204" s="306"/>
      <c r="U204" s="306"/>
      <c r="V204" s="306"/>
      <c r="W204" s="306"/>
      <c r="X204" s="306"/>
      <c r="Y204" s="306"/>
      <c r="Z204" s="306"/>
      <c r="AA204" s="306"/>
      <c r="AB204" s="306"/>
      <c r="AC204" s="306"/>
      <c r="AD204" s="306"/>
    </row>
    <row r="205" spans="11:30" x14ac:dyDescent="0.2">
      <c r="K205" s="306"/>
      <c r="L205" s="306"/>
      <c r="M205" s="306"/>
      <c r="N205" s="306"/>
      <c r="O205" s="306"/>
      <c r="P205" s="306"/>
      <c r="Q205" s="306"/>
      <c r="R205" s="306"/>
      <c r="S205" s="306"/>
      <c r="T205" s="306"/>
      <c r="U205" s="306"/>
      <c r="V205" s="306"/>
      <c r="W205" s="306"/>
      <c r="X205" s="306"/>
      <c r="Y205" s="306"/>
      <c r="Z205" s="306"/>
      <c r="AA205" s="306"/>
      <c r="AB205" s="306"/>
      <c r="AC205" s="306"/>
      <c r="AD205" s="306"/>
    </row>
    <row r="206" spans="11:30" x14ac:dyDescent="0.2"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</row>
    <row r="207" spans="11:30" x14ac:dyDescent="0.2">
      <c r="K207" s="306"/>
      <c r="L207" s="306"/>
      <c r="M207" s="306"/>
      <c r="N207" s="306"/>
      <c r="O207" s="306"/>
      <c r="P207" s="306"/>
      <c r="Q207" s="306"/>
      <c r="R207" s="306"/>
      <c r="S207" s="306"/>
      <c r="T207" s="306"/>
      <c r="U207" s="306"/>
      <c r="V207" s="306"/>
      <c r="W207" s="306"/>
      <c r="X207" s="306"/>
      <c r="Y207" s="306"/>
      <c r="Z207" s="306"/>
      <c r="AA207" s="306"/>
      <c r="AB207" s="306"/>
      <c r="AC207" s="306"/>
      <c r="AD207" s="306"/>
    </row>
    <row r="208" spans="11:30" x14ac:dyDescent="0.2">
      <c r="K208" s="306"/>
      <c r="L208" s="306"/>
      <c r="M208" s="306"/>
      <c r="N208" s="306"/>
      <c r="O208" s="306"/>
      <c r="P208" s="306"/>
      <c r="Q208" s="306"/>
      <c r="R208" s="306"/>
      <c r="S208" s="306"/>
      <c r="T208" s="306"/>
      <c r="U208" s="306"/>
      <c r="V208" s="306"/>
      <c r="W208" s="306"/>
      <c r="X208" s="306"/>
      <c r="Y208" s="306"/>
      <c r="Z208" s="306"/>
      <c r="AA208" s="306"/>
      <c r="AB208" s="306"/>
      <c r="AC208" s="306"/>
      <c r="AD208" s="306"/>
    </row>
    <row r="209" spans="11:30" x14ac:dyDescent="0.2">
      <c r="K209" s="306"/>
      <c r="L209" s="306"/>
      <c r="M209" s="306"/>
      <c r="N209" s="306"/>
      <c r="O209" s="306"/>
      <c r="P209" s="306"/>
      <c r="Q209" s="306"/>
      <c r="R209" s="306"/>
      <c r="S209" s="306"/>
      <c r="T209" s="306"/>
      <c r="U209" s="306"/>
      <c r="V209" s="306"/>
      <c r="W209" s="306"/>
      <c r="X209" s="306"/>
      <c r="Y209" s="306"/>
      <c r="Z209" s="306"/>
      <c r="AA209" s="306"/>
      <c r="AB209" s="306"/>
      <c r="AC209" s="306"/>
      <c r="AD209" s="306"/>
    </row>
    <row r="210" spans="11:30" x14ac:dyDescent="0.2">
      <c r="K210" s="306"/>
      <c r="L210" s="306"/>
      <c r="M210" s="306"/>
      <c r="N210" s="306"/>
      <c r="O210" s="306"/>
      <c r="P210" s="306"/>
      <c r="Q210" s="306"/>
      <c r="R210" s="306"/>
      <c r="S210" s="306"/>
      <c r="T210" s="306"/>
      <c r="U210" s="306"/>
      <c r="V210" s="306"/>
      <c r="W210" s="306"/>
      <c r="X210" s="306"/>
      <c r="Y210" s="306"/>
      <c r="Z210" s="306"/>
      <c r="AA210" s="306"/>
      <c r="AB210" s="306"/>
      <c r="AC210" s="306"/>
      <c r="AD210" s="306"/>
    </row>
    <row r="211" spans="11:30" x14ac:dyDescent="0.2">
      <c r="K211" s="306"/>
      <c r="L211" s="306"/>
      <c r="M211" s="306"/>
      <c r="N211" s="306"/>
      <c r="O211" s="306"/>
      <c r="P211" s="306"/>
      <c r="Q211" s="306"/>
      <c r="R211" s="306"/>
      <c r="S211" s="306"/>
      <c r="T211" s="306"/>
      <c r="U211" s="306"/>
      <c r="V211" s="306"/>
      <c r="W211" s="306"/>
      <c r="X211" s="306"/>
      <c r="Y211" s="306"/>
      <c r="Z211" s="306"/>
      <c r="AA211" s="306"/>
      <c r="AB211" s="306"/>
      <c r="AC211" s="306"/>
      <c r="AD211" s="306"/>
    </row>
    <row r="212" spans="11:30" x14ac:dyDescent="0.2">
      <c r="K212" s="306"/>
      <c r="L212" s="306"/>
      <c r="M212" s="306"/>
      <c r="N212" s="306"/>
      <c r="O212" s="306"/>
      <c r="P212" s="306"/>
      <c r="Q212" s="306"/>
      <c r="R212" s="306"/>
      <c r="S212" s="306"/>
      <c r="T212" s="306"/>
      <c r="U212" s="306"/>
      <c r="V212" s="306"/>
      <c r="W212" s="306"/>
      <c r="X212" s="306"/>
      <c r="Y212" s="306"/>
      <c r="Z212" s="306"/>
      <c r="AA212" s="306"/>
      <c r="AB212" s="306"/>
      <c r="AC212" s="306"/>
      <c r="AD212" s="306"/>
    </row>
    <row r="213" spans="11:30" x14ac:dyDescent="0.2">
      <c r="K213" s="306"/>
      <c r="L213" s="306"/>
      <c r="M213" s="306"/>
      <c r="N213" s="306"/>
      <c r="O213" s="306"/>
      <c r="P213" s="306"/>
      <c r="Q213" s="306"/>
      <c r="R213" s="306"/>
      <c r="S213" s="306"/>
      <c r="T213" s="306"/>
      <c r="U213" s="306"/>
      <c r="V213" s="306"/>
      <c r="W213" s="306"/>
      <c r="X213" s="306"/>
      <c r="Y213" s="306"/>
      <c r="Z213" s="306"/>
      <c r="AA213" s="306"/>
      <c r="AB213" s="306"/>
      <c r="AC213" s="306"/>
      <c r="AD213" s="306"/>
    </row>
    <row r="214" spans="11:30" x14ac:dyDescent="0.2">
      <c r="K214" s="306"/>
      <c r="L214" s="306"/>
      <c r="M214" s="306"/>
      <c r="N214" s="306"/>
      <c r="O214" s="306"/>
      <c r="P214" s="306"/>
      <c r="Q214" s="306"/>
      <c r="R214" s="306"/>
      <c r="S214" s="306"/>
      <c r="T214" s="306"/>
      <c r="U214" s="306"/>
      <c r="V214" s="306"/>
      <c r="W214" s="306"/>
      <c r="X214" s="306"/>
      <c r="Y214" s="306"/>
      <c r="Z214" s="306"/>
      <c r="AA214" s="306"/>
      <c r="AB214" s="306"/>
      <c r="AC214" s="306"/>
      <c r="AD214" s="306"/>
    </row>
    <row r="215" spans="11:30" x14ac:dyDescent="0.2"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306"/>
      <c r="V215" s="306"/>
      <c r="W215" s="306"/>
      <c r="X215" s="306"/>
      <c r="Y215" s="306"/>
      <c r="Z215" s="306"/>
      <c r="AA215" s="306"/>
      <c r="AB215" s="306"/>
      <c r="AC215" s="306"/>
      <c r="AD215" s="306"/>
    </row>
    <row r="216" spans="11:30" x14ac:dyDescent="0.2">
      <c r="K216" s="306"/>
      <c r="L216" s="306"/>
      <c r="M216" s="306"/>
      <c r="N216" s="306"/>
      <c r="O216" s="306"/>
      <c r="P216" s="306"/>
      <c r="Q216" s="306"/>
      <c r="R216" s="306"/>
      <c r="S216" s="306"/>
      <c r="T216" s="306"/>
      <c r="U216" s="306"/>
      <c r="V216" s="306"/>
      <c r="W216" s="306"/>
      <c r="X216" s="306"/>
      <c r="Y216" s="306"/>
      <c r="Z216" s="306"/>
      <c r="AA216" s="306"/>
      <c r="AB216" s="306"/>
      <c r="AC216" s="306"/>
      <c r="AD216" s="306"/>
    </row>
    <row r="217" spans="11:30" x14ac:dyDescent="0.2">
      <c r="K217" s="306"/>
      <c r="L217" s="306"/>
      <c r="M217" s="306"/>
      <c r="N217" s="306"/>
      <c r="O217" s="306"/>
      <c r="P217" s="306"/>
      <c r="Q217" s="306"/>
      <c r="R217" s="306"/>
      <c r="S217" s="306"/>
      <c r="T217" s="306"/>
      <c r="U217" s="306"/>
      <c r="V217" s="306"/>
      <c r="W217" s="306"/>
      <c r="X217" s="306"/>
      <c r="Y217" s="306"/>
      <c r="Z217" s="306"/>
      <c r="AA217" s="306"/>
      <c r="AB217" s="306"/>
      <c r="AC217" s="306"/>
      <c r="AD217" s="306"/>
    </row>
    <row r="218" spans="11:30" x14ac:dyDescent="0.2">
      <c r="K218" s="306"/>
      <c r="L218" s="306"/>
      <c r="M218" s="306"/>
      <c r="N218" s="306"/>
      <c r="O218" s="306"/>
      <c r="P218" s="306"/>
      <c r="Q218" s="306"/>
      <c r="R218" s="306"/>
      <c r="S218" s="306"/>
      <c r="T218" s="306"/>
      <c r="U218" s="306"/>
      <c r="V218" s="306"/>
      <c r="W218" s="306"/>
      <c r="X218" s="306"/>
      <c r="Y218" s="306"/>
      <c r="Z218" s="306"/>
      <c r="AA218" s="306"/>
      <c r="AB218" s="306"/>
      <c r="AC218" s="306"/>
      <c r="AD218" s="306"/>
    </row>
    <row r="219" spans="11:30" x14ac:dyDescent="0.2"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  <c r="V219" s="306"/>
      <c r="W219" s="306"/>
      <c r="X219" s="306"/>
      <c r="Y219" s="306"/>
      <c r="Z219" s="306"/>
      <c r="AA219" s="306"/>
      <c r="AB219" s="306"/>
      <c r="AC219" s="306"/>
      <c r="AD219" s="306"/>
    </row>
    <row r="220" spans="11:30" x14ac:dyDescent="0.2">
      <c r="K220" s="306"/>
      <c r="L220" s="306"/>
      <c r="M220" s="306"/>
      <c r="N220" s="306"/>
      <c r="O220" s="306"/>
      <c r="P220" s="306"/>
      <c r="Q220" s="306"/>
      <c r="R220" s="306"/>
      <c r="S220" s="306"/>
      <c r="T220" s="306"/>
      <c r="U220" s="306"/>
      <c r="V220" s="306"/>
      <c r="W220" s="306"/>
      <c r="X220" s="306"/>
      <c r="Y220" s="306"/>
      <c r="Z220" s="306"/>
      <c r="AA220" s="306"/>
      <c r="AB220" s="306"/>
      <c r="AC220" s="306"/>
      <c r="AD220" s="306"/>
    </row>
    <row r="221" spans="11:30" x14ac:dyDescent="0.2">
      <c r="K221" s="306"/>
      <c r="L221" s="306"/>
      <c r="M221" s="306"/>
      <c r="N221" s="306"/>
      <c r="O221" s="306"/>
      <c r="P221" s="306"/>
      <c r="Q221" s="306"/>
      <c r="R221" s="306"/>
      <c r="S221" s="306"/>
      <c r="T221" s="306"/>
      <c r="U221" s="306"/>
      <c r="V221" s="306"/>
      <c r="W221" s="306"/>
      <c r="X221" s="306"/>
      <c r="Y221" s="306"/>
      <c r="Z221" s="306"/>
      <c r="AA221" s="306"/>
      <c r="AB221" s="306"/>
      <c r="AC221" s="306"/>
      <c r="AD221" s="306"/>
    </row>
    <row r="222" spans="11:30" x14ac:dyDescent="0.2"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  <c r="V222" s="306"/>
      <c r="W222" s="306"/>
      <c r="X222" s="306"/>
      <c r="Y222" s="306"/>
      <c r="Z222" s="306"/>
      <c r="AA222" s="306"/>
      <c r="AB222" s="306"/>
      <c r="AC222" s="306"/>
      <c r="AD222" s="306"/>
    </row>
    <row r="223" spans="11:30" x14ac:dyDescent="0.2">
      <c r="K223" s="306"/>
      <c r="L223" s="306"/>
      <c r="M223" s="306"/>
      <c r="N223" s="306"/>
      <c r="O223" s="306"/>
      <c r="P223" s="306"/>
      <c r="Q223" s="306"/>
      <c r="R223" s="306"/>
      <c r="S223" s="306"/>
      <c r="T223" s="306"/>
      <c r="U223" s="306"/>
      <c r="V223" s="306"/>
      <c r="W223" s="306"/>
      <c r="X223" s="306"/>
      <c r="Y223" s="306"/>
      <c r="Z223" s="306"/>
      <c r="AA223" s="306"/>
      <c r="AB223" s="306"/>
      <c r="AC223" s="306"/>
      <c r="AD223" s="306"/>
    </row>
    <row r="224" spans="11:30" x14ac:dyDescent="0.2">
      <c r="K224" s="306"/>
      <c r="L224" s="306"/>
      <c r="M224" s="306"/>
      <c r="N224" s="306"/>
      <c r="O224" s="306"/>
      <c r="P224" s="306"/>
      <c r="Q224" s="306"/>
      <c r="R224" s="306"/>
      <c r="S224" s="306"/>
      <c r="T224" s="306"/>
      <c r="U224" s="306"/>
      <c r="V224" s="306"/>
      <c r="W224" s="306"/>
      <c r="X224" s="306"/>
      <c r="Y224" s="306"/>
      <c r="Z224" s="306"/>
      <c r="AA224" s="306"/>
      <c r="AB224" s="306"/>
      <c r="AC224" s="306"/>
      <c r="AD224" s="306"/>
    </row>
    <row r="225" spans="11:30" x14ac:dyDescent="0.2">
      <c r="K225" s="279"/>
      <c r="L225" s="279"/>
      <c r="M225" s="279"/>
      <c r="N225" s="279"/>
      <c r="O225" s="279"/>
      <c r="P225" s="279"/>
      <c r="Q225" s="279"/>
      <c r="R225" s="279"/>
      <c r="S225" s="279"/>
      <c r="T225" s="279"/>
      <c r="U225" s="279"/>
      <c r="V225" s="279"/>
      <c r="W225" s="279"/>
      <c r="X225" s="279"/>
      <c r="Y225" s="279"/>
      <c r="Z225" s="279"/>
      <c r="AA225" s="279"/>
      <c r="AB225" s="279"/>
      <c r="AC225" s="279"/>
      <c r="AD225" s="279"/>
    </row>
    <row r="226" spans="11:30" x14ac:dyDescent="0.2">
      <c r="K226" s="279"/>
      <c r="L226" s="279"/>
      <c r="M226" s="279"/>
      <c r="N226" s="279"/>
      <c r="O226" s="279"/>
      <c r="P226" s="279"/>
      <c r="Q226" s="279"/>
      <c r="R226" s="279"/>
      <c r="S226" s="279"/>
      <c r="T226" s="279"/>
      <c r="U226" s="279"/>
      <c r="V226" s="279"/>
      <c r="W226" s="279"/>
      <c r="X226" s="279"/>
      <c r="Y226" s="279"/>
      <c r="Z226" s="279"/>
      <c r="AA226" s="279"/>
      <c r="AB226" s="279"/>
      <c r="AC226" s="279"/>
      <c r="AD226" s="279"/>
    </row>
    <row r="227" spans="11:30" x14ac:dyDescent="0.2">
      <c r="K227" s="279"/>
      <c r="L227" s="279"/>
      <c r="M227" s="279"/>
      <c r="N227" s="279"/>
      <c r="O227" s="279"/>
      <c r="P227" s="279"/>
      <c r="Q227" s="279"/>
      <c r="R227" s="279"/>
      <c r="S227" s="279"/>
      <c r="T227" s="279"/>
      <c r="U227" s="279"/>
      <c r="V227" s="279"/>
      <c r="W227" s="279"/>
      <c r="X227" s="279"/>
      <c r="Y227" s="279"/>
      <c r="Z227" s="279"/>
      <c r="AA227" s="279"/>
      <c r="AB227" s="279"/>
      <c r="AC227" s="279"/>
      <c r="AD227" s="279"/>
    </row>
    <row r="228" spans="11:30" x14ac:dyDescent="0.2">
      <c r="K228" s="279"/>
      <c r="L228" s="279"/>
      <c r="M228" s="279"/>
      <c r="N228" s="279"/>
      <c r="O228" s="279"/>
      <c r="P228" s="279"/>
      <c r="Q228" s="279"/>
      <c r="R228" s="279"/>
      <c r="S228" s="279"/>
      <c r="T228" s="279"/>
      <c r="U228" s="279"/>
      <c r="V228" s="279"/>
      <c r="W228" s="279"/>
      <c r="X228" s="279"/>
      <c r="Y228" s="279"/>
      <c r="Z228" s="279"/>
      <c r="AA228" s="279"/>
      <c r="AB228" s="279"/>
      <c r="AC228" s="279"/>
      <c r="AD228" s="279"/>
    </row>
    <row r="229" spans="11:30" x14ac:dyDescent="0.2">
      <c r="K229" s="279"/>
      <c r="L229" s="279"/>
      <c r="M229" s="279"/>
      <c r="N229" s="279"/>
      <c r="O229" s="279"/>
      <c r="P229" s="279"/>
      <c r="Q229" s="279"/>
      <c r="R229" s="279"/>
      <c r="S229" s="279"/>
      <c r="T229" s="279"/>
      <c r="U229" s="279"/>
      <c r="V229" s="279"/>
      <c r="W229" s="279"/>
      <c r="X229" s="279"/>
      <c r="Y229" s="279"/>
      <c r="Z229" s="279"/>
      <c r="AA229" s="279"/>
      <c r="AB229" s="279"/>
      <c r="AC229" s="279"/>
      <c r="AD229" s="279"/>
    </row>
    <row r="230" spans="11:30" x14ac:dyDescent="0.2">
      <c r="K230" s="279"/>
      <c r="L230" s="279"/>
      <c r="M230" s="279"/>
      <c r="N230" s="279"/>
      <c r="O230" s="279"/>
      <c r="P230" s="279"/>
      <c r="Q230" s="279"/>
      <c r="R230" s="279"/>
      <c r="S230" s="279"/>
      <c r="T230" s="279"/>
      <c r="U230" s="279"/>
      <c r="V230" s="279"/>
      <c r="W230" s="279"/>
      <c r="X230" s="279"/>
      <c r="Y230" s="279"/>
      <c r="Z230" s="279"/>
      <c r="AA230" s="279"/>
      <c r="AB230" s="279"/>
      <c r="AC230" s="279"/>
      <c r="AD230" s="279"/>
    </row>
    <row r="231" spans="11:30" x14ac:dyDescent="0.2">
      <c r="K231" s="279"/>
      <c r="L231" s="279"/>
      <c r="M231" s="279"/>
      <c r="N231" s="279"/>
      <c r="O231" s="279"/>
      <c r="P231" s="279"/>
      <c r="Q231" s="279"/>
      <c r="R231" s="279"/>
      <c r="S231" s="279"/>
      <c r="T231" s="279"/>
      <c r="U231" s="279"/>
      <c r="V231" s="279"/>
      <c r="W231" s="279"/>
      <c r="X231" s="279"/>
      <c r="Y231" s="279"/>
      <c r="Z231" s="279"/>
      <c r="AA231" s="279"/>
      <c r="AB231" s="279"/>
      <c r="AC231" s="279"/>
      <c r="AD231" s="279"/>
    </row>
    <row r="232" spans="11:30" x14ac:dyDescent="0.2"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  <c r="Z232" s="279"/>
      <c r="AA232" s="279"/>
      <c r="AB232" s="279"/>
      <c r="AC232" s="279"/>
      <c r="AD232" s="279"/>
    </row>
    <row r="233" spans="11:30" x14ac:dyDescent="0.2">
      <c r="K233" s="279"/>
      <c r="L233" s="279"/>
      <c r="M233" s="279"/>
      <c r="N233" s="279"/>
      <c r="O233" s="279"/>
      <c r="P233" s="279"/>
      <c r="Q233" s="279"/>
      <c r="R233" s="279"/>
      <c r="S233" s="279"/>
      <c r="T233" s="279"/>
      <c r="U233" s="279"/>
      <c r="V233" s="279"/>
      <c r="W233" s="279"/>
      <c r="X233" s="279"/>
      <c r="Y233" s="279"/>
      <c r="Z233" s="279"/>
      <c r="AA233" s="279"/>
      <c r="AB233" s="279"/>
      <c r="AC233" s="279"/>
      <c r="AD233" s="279"/>
    </row>
    <row r="234" spans="11:30" x14ac:dyDescent="0.2">
      <c r="K234" s="279"/>
      <c r="L234" s="279"/>
      <c r="M234" s="279"/>
      <c r="N234" s="279"/>
      <c r="O234" s="279"/>
      <c r="P234" s="279"/>
      <c r="Q234" s="279"/>
      <c r="R234" s="279"/>
      <c r="S234" s="279"/>
      <c r="T234" s="279"/>
      <c r="U234" s="279"/>
      <c r="V234" s="279"/>
      <c r="W234" s="279"/>
      <c r="X234" s="279"/>
      <c r="Y234" s="279"/>
      <c r="Z234" s="279"/>
      <c r="AA234" s="279"/>
      <c r="AB234" s="279"/>
      <c r="AC234" s="279"/>
      <c r="AD234" s="279"/>
    </row>
    <row r="235" spans="11:30" x14ac:dyDescent="0.2">
      <c r="K235" s="279"/>
      <c r="L235" s="279"/>
      <c r="M235" s="279"/>
      <c r="N235" s="279"/>
      <c r="O235" s="279"/>
      <c r="P235" s="279"/>
      <c r="Q235" s="279"/>
      <c r="R235" s="279"/>
      <c r="S235" s="279"/>
      <c r="T235" s="279"/>
      <c r="U235" s="279"/>
      <c r="V235" s="279"/>
      <c r="W235" s="279"/>
      <c r="X235" s="279"/>
      <c r="Y235" s="279"/>
      <c r="Z235" s="279"/>
      <c r="AA235" s="279"/>
      <c r="AB235" s="279"/>
      <c r="AC235" s="279"/>
      <c r="AD235" s="279"/>
    </row>
    <row r="236" spans="11:30" x14ac:dyDescent="0.2">
      <c r="K236" s="279"/>
      <c r="L236" s="279"/>
      <c r="M236" s="279"/>
      <c r="N236" s="279"/>
      <c r="O236" s="279"/>
      <c r="P236" s="279"/>
      <c r="Q236" s="279"/>
      <c r="R236" s="279"/>
      <c r="S236" s="279"/>
      <c r="T236" s="279"/>
      <c r="U236" s="279"/>
      <c r="V236" s="279"/>
      <c r="W236" s="279"/>
      <c r="X236" s="279"/>
      <c r="Y236" s="279"/>
      <c r="Z236" s="279"/>
      <c r="AA236" s="279"/>
      <c r="AB236" s="279"/>
      <c r="AC236" s="279"/>
      <c r="AD236" s="279"/>
    </row>
    <row r="237" spans="11:30" x14ac:dyDescent="0.2">
      <c r="K237" s="279"/>
      <c r="L237" s="279"/>
      <c r="M237" s="279"/>
      <c r="N237" s="279"/>
      <c r="O237" s="279"/>
      <c r="P237" s="279"/>
      <c r="Q237" s="279"/>
      <c r="R237" s="279"/>
      <c r="S237" s="279"/>
      <c r="T237" s="279"/>
      <c r="U237" s="279"/>
      <c r="V237" s="279"/>
      <c r="W237" s="279"/>
      <c r="X237" s="279"/>
      <c r="Y237" s="279"/>
      <c r="Z237" s="279"/>
      <c r="AA237" s="279"/>
      <c r="AB237" s="279"/>
      <c r="AC237" s="279"/>
      <c r="AD237" s="279"/>
    </row>
    <row r="238" spans="11:30" x14ac:dyDescent="0.2">
      <c r="K238" s="279"/>
      <c r="L238" s="279"/>
      <c r="M238" s="279"/>
      <c r="N238" s="279"/>
      <c r="O238" s="279"/>
      <c r="P238" s="279"/>
      <c r="Q238" s="279"/>
      <c r="R238" s="279"/>
      <c r="S238" s="279"/>
      <c r="T238" s="279"/>
      <c r="U238" s="279"/>
      <c r="V238" s="279"/>
      <c r="W238" s="279"/>
      <c r="X238" s="279"/>
      <c r="Y238" s="279"/>
      <c r="Z238" s="279"/>
      <c r="AA238" s="279"/>
      <c r="AB238" s="279"/>
      <c r="AC238" s="279"/>
      <c r="AD238" s="279"/>
    </row>
    <row r="239" spans="11:30" x14ac:dyDescent="0.2">
      <c r="K239" s="279"/>
      <c r="L239" s="279"/>
      <c r="M239" s="279"/>
      <c r="N239" s="279"/>
      <c r="O239" s="279"/>
      <c r="P239" s="279"/>
      <c r="Q239" s="279"/>
      <c r="R239" s="279"/>
      <c r="S239" s="279"/>
      <c r="T239" s="279"/>
      <c r="U239" s="279"/>
      <c r="V239" s="279"/>
      <c r="W239" s="279"/>
      <c r="X239" s="279"/>
      <c r="Y239" s="279"/>
      <c r="Z239" s="279"/>
      <c r="AA239" s="279"/>
      <c r="AB239" s="279"/>
      <c r="AC239" s="279"/>
      <c r="AD239" s="279"/>
    </row>
    <row r="240" spans="11:30" x14ac:dyDescent="0.2">
      <c r="K240" s="279"/>
      <c r="L240" s="279"/>
      <c r="M240" s="279"/>
      <c r="N240" s="279"/>
      <c r="O240" s="279"/>
      <c r="P240" s="279"/>
      <c r="Q240" s="279"/>
      <c r="R240" s="279"/>
      <c r="S240" s="279"/>
      <c r="T240" s="279"/>
      <c r="U240" s="279"/>
      <c r="V240" s="279"/>
      <c r="W240" s="279"/>
      <c r="X240" s="279"/>
      <c r="Y240" s="279"/>
      <c r="Z240" s="279"/>
      <c r="AA240" s="279"/>
      <c r="AB240" s="279"/>
      <c r="AC240" s="279"/>
      <c r="AD240" s="279"/>
    </row>
    <row r="241" spans="11:30" x14ac:dyDescent="0.2">
      <c r="K241" s="279"/>
      <c r="L241" s="279"/>
      <c r="M241" s="279"/>
      <c r="N241" s="279"/>
      <c r="O241" s="279"/>
      <c r="P241" s="279"/>
      <c r="Q241" s="279"/>
      <c r="R241" s="279"/>
      <c r="S241" s="279"/>
      <c r="T241" s="279"/>
      <c r="U241" s="279"/>
      <c r="V241" s="279"/>
      <c r="W241" s="279"/>
      <c r="X241" s="279"/>
      <c r="Y241" s="279"/>
      <c r="Z241" s="279"/>
      <c r="AA241" s="279"/>
      <c r="AB241" s="279"/>
      <c r="AC241" s="279"/>
      <c r="AD241" s="279"/>
    </row>
    <row r="242" spans="11:30" x14ac:dyDescent="0.2">
      <c r="K242" s="279"/>
      <c r="L242" s="279"/>
      <c r="M242" s="279"/>
      <c r="N242" s="279"/>
      <c r="O242" s="279"/>
      <c r="P242" s="279"/>
      <c r="Q242" s="279"/>
      <c r="R242" s="279"/>
      <c r="S242" s="279"/>
      <c r="T242" s="279"/>
      <c r="U242" s="279"/>
      <c r="V242" s="279"/>
      <c r="W242" s="279"/>
      <c r="X242" s="279"/>
      <c r="Y242" s="279"/>
      <c r="Z242" s="279"/>
      <c r="AA242" s="279"/>
      <c r="AB242" s="279"/>
      <c r="AC242" s="279"/>
      <c r="AD242" s="279"/>
    </row>
    <row r="243" spans="11:30" x14ac:dyDescent="0.2">
      <c r="K243" s="279"/>
      <c r="L243" s="279"/>
      <c r="M243" s="279"/>
      <c r="N243" s="279"/>
      <c r="O243" s="279"/>
      <c r="P243" s="279"/>
      <c r="Q243" s="279"/>
      <c r="R243" s="279"/>
      <c r="S243" s="279"/>
      <c r="T243" s="279"/>
      <c r="U243" s="279"/>
      <c r="V243" s="279"/>
      <c r="W243" s="279"/>
      <c r="X243" s="279"/>
      <c r="Y243" s="279"/>
      <c r="Z243" s="279"/>
      <c r="AA243" s="279"/>
      <c r="AB243" s="279"/>
      <c r="AC243" s="279"/>
      <c r="AD243" s="279"/>
    </row>
    <row r="244" spans="11:30" x14ac:dyDescent="0.2">
      <c r="K244" s="279"/>
      <c r="L244" s="279"/>
      <c r="M244" s="279"/>
      <c r="N244" s="279"/>
      <c r="O244" s="279"/>
      <c r="P244" s="279"/>
      <c r="Q244" s="279"/>
      <c r="R244" s="279"/>
      <c r="S244" s="279"/>
      <c r="T244" s="279"/>
      <c r="U244" s="279"/>
      <c r="V244" s="279"/>
      <c r="W244" s="279"/>
      <c r="X244" s="279"/>
      <c r="Y244" s="279"/>
      <c r="Z244" s="279"/>
      <c r="AA244" s="279"/>
      <c r="AB244" s="279"/>
      <c r="AC244" s="279"/>
      <c r="AD244" s="279"/>
    </row>
    <row r="245" spans="11:30" x14ac:dyDescent="0.2">
      <c r="K245" s="279"/>
      <c r="L245" s="279"/>
      <c r="M245" s="279"/>
      <c r="N245" s="279"/>
      <c r="O245" s="279"/>
      <c r="P245" s="279"/>
      <c r="Q245" s="279"/>
      <c r="R245" s="279"/>
      <c r="S245" s="279"/>
      <c r="T245" s="279"/>
      <c r="U245" s="279"/>
      <c r="V245" s="279"/>
      <c r="W245" s="279"/>
      <c r="X245" s="279"/>
      <c r="Y245" s="279"/>
      <c r="Z245" s="279"/>
      <c r="AA245" s="279"/>
      <c r="AB245" s="279"/>
      <c r="AC245" s="279"/>
      <c r="AD245" s="279"/>
    </row>
    <row r="246" spans="11:30" x14ac:dyDescent="0.2"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  <c r="Z246" s="279"/>
      <c r="AA246" s="279"/>
      <c r="AB246" s="279"/>
      <c r="AC246" s="279"/>
      <c r="AD246" s="279"/>
    </row>
    <row r="247" spans="11:30" x14ac:dyDescent="0.2">
      <c r="K247" s="279"/>
      <c r="L247" s="279"/>
      <c r="M247" s="279"/>
      <c r="N247" s="279"/>
      <c r="O247" s="279"/>
      <c r="P247" s="279"/>
      <c r="Q247" s="279"/>
      <c r="R247" s="279"/>
      <c r="S247" s="279"/>
      <c r="T247" s="279"/>
      <c r="U247" s="279"/>
      <c r="V247" s="279"/>
      <c r="W247" s="279"/>
      <c r="X247" s="279"/>
      <c r="Y247" s="279"/>
      <c r="Z247" s="279"/>
      <c r="AA247" s="279"/>
      <c r="AB247" s="279"/>
      <c r="AC247" s="279"/>
      <c r="AD247" s="279"/>
    </row>
    <row r="248" spans="11:30" x14ac:dyDescent="0.2">
      <c r="K248" s="279"/>
      <c r="L248" s="279"/>
      <c r="M248" s="279"/>
      <c r="N248" s="279"/>
      <c r="O248" s="279"/>
      <c r="P248" s="279"/>
      <c r="Q248" s="279"/>
      <c r="R248" s="279"/>
      <c r="S248" s="279"/>
      <c r="T248" s="279"/>
      <c r="U248" s="279"/>
      <c r="V248" s="279"/>
      <c r="W248" s="279"/>
      <c r="X248" s="279"/>
      <c r="Y248" s="279"/>
      <c r="Z248" s="279"/>
      <c r="AA248" s="279"/>
      <c r="AB248" s="279"/>
      <c r="AC248" s="279"/>
      <c r="AD248" s="279"/>
    </row>
    <row r="249" spans="11:30" x14ac:dyDescent="0.2">
      <c r="K249" s="279"/>
      <c r="L249" s="279"/>
      <c r="M249" s="279"/>
      <c r="N249" s="279"/>
      <c r="O249" s="279"/>
      <c r="P249" s="279"/>
      <c r="Q249" s="279"/>
      <c r="R249" s="279"/>
      <c r="S249" s="279"/>
      <c r="T249" s="279"/>
      <c r="U249" s="279"/>
      <c r="V249" s="279"/>
      <c r="W249" s="279"/>
      <c r="X249" s="279"/>
      <c r="Y249" s="279"/>
      <c r="Z249" s="279"/>
      <c r="AA249" s="279"/>
      <c r="AB249" s="279"/>
      <c r="AC249" s="279"/>
      <c r="AD249" s="279"/>
    </row>
  </sheetData>
  <sheetProtection selectLockedCells="1"/>
  <mergeCells count="412"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28" priority="217">
      <formula>K$35=TODAY()</formula>
    </cfRule>
  </conditionalFormatting>
  <conditionalFormatting sqref="K35:AK36">
    <cfRule type="expression" dxfId="227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26" priority="209" operator="containsText" text="No">
      <formula>NOT(ISERROR(SEARCH("No",H12)))</formula>
    </cfRule>
    <cfRule type="containsText" dxfId="225" priority="210" operator="containsText" text="Yes">
      <formula>NOT(ISERROR(SEARCH("Yes",H12)))</formula>
    </cfRule>
    <cfRule type="containsText" dxfId="224" priority="211" operator="containsText" text="???">
      <formula>NOT(ISERROR(SEARCH("???",H12)))</formula>
    </cfRule>
  </conditionalFormatting>
  <conditionalFormatting sqref="AL12:AL33">
    <cfRule type="expression" dxfId="223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22" priority="206">
      <formula>$C12+$D12 - 1&lt;TODAY()</formula>
    </cfRule>
    <cfRule type="expression" dxfId="221" priority="207">
      <formula>$C12&gt;TODAY()</formula>
    </cfRule>
  </conditionalFormatting>
  <conditionalFormatting sqref="D5">
    <cfRule type="containsText" dxfId="220" priority="197" operator="containsText" text="Void">
      <formula>NOT(ISERROR(SEARCH("Void",D5)))</formula>
    </cfRule>
    <cfRule type="containsText" dxfId="219" priority="198" operator="containsText" text="Spirit">
      <formula>NOT(ISERROR(SEARCH("Spirit",D5)))</formula>
    </cfRule>
    <cfRule type="containsText" dxfId="218" priority="199" operator="containsText" text="Force">
      <formula>NOT(ISERROR(SEARCH("Force",D5)))</formula>
    </cfRule>
    <cfRule type="containsText" dxfId="217" priority="200" operator="containsText" text="Magic">
      <formula>NOT(ISERROR(SEARCH("Magic",D5)))</formula>
    </cfRule>
  </conditionalFormatting>
  <conditionalFormatting sqref="C5">
    <cfRule type="containsText" dxfId="216" priority="201" operator="containsText" text="Legend">
      <formula>NOT(ISERROR(SEARCH("Legend",C5)))</formula>
    </cfRule>
    <cfRule type="containsText" dxfId="215" priority="202" operator="containsText" text="Legendary">
      <formula>NOT(ISERROR(SEARCH("Legendary",C5)))</formula>
    </cfRule>
    <cfRule type="containsText" dxfId="214" priority="203" operator="containsText" text="Epic">
      <formula>NOT(ISERROR(SEARCH("Epic",C5)))</formula>
    </cfRule>
    <cfRule type="containsText" dxfId="213" priority="204" operator="containsText" text="Rare">
      <formula>NOT(ISERROR(SEARCH("Rare",C5)))</formula>
    </cfRule>
    <cfRule type="containsText" dxfId="212" priority="205" operator="containsText" text="Common">
      <formula>NOT(ISERROR(SEARCH("Common",C5)))</formula>
    </cfRule>
  </conditionalFormatting>
  <conditionalFormatting sqref="H13:H33">
    <cfRule type="containsText" dxfId="211" priority="194" operator="containsText" text="No">
      <formula>NOT(ISERROR(SEARCH("No",H13)))</formula>
    </cfRule>
    <cfRule type="containsText" dxfId="210" priority="195" operator="containsText" text="Yes">
      <formula>NOT(ISERROR(SEARCH("Yes",H13)))</formula>
    </cfRule>
    <cfRule type="containsText" dxfId="209" priority="196" operator="containsText" text="???">
      <formula>NOT(ISERROR(SEARCH("???",H13)))</formula>
    </cfRule>
  </conditionalFormatting>
  <conditionalFormatting sqref="B13:C33 E13:J33">
    <cfRule type="expression" dxfId="208" priority="192">
      <formula>$C13+$D13 - 1&lt;TODAY()</formula>
    </cfRule>
    <cfRule type="expression" dxfId="207" priority="193">
      <formula>$C13&gt;TODAY()</formula>
    </cfRule>
  </conditionalFormatting>
  <conditionalFormatting sqref="D13:D33">
    <cfRule type="expression" dxfId="206" priority="190">
      <formula>$C13+$D13 - 1&lt;TODAY()</formula>
    </cfRule>
    <cfRule type="expression" dxfId="205" priority="191">
      <formula>$C13&gt;TODAY()</formula>
    </cfRule>
  </conditionalFormatting>
  <conditionalFormatting sqref="B37:B58 D37:F58 H37:H58">
    <cfRule type="expression" dxfId="204" priority="188">
      <formula>$D37&gt;TODAY()</formula>
    </cfRule>
    <cfRule type="expression" dxfId="203" priority="189">
      <formula>$E37&lt;TODAY()</formula>
    </cfRule>
  </conditionalFormatting>
  <conditionalFormatting sqref="D6">
    <cfRule type="containsText" dxfId="202" priority="176" operator="containsText" text="Void">
      <formula>NOT(ISERROR(SEARCH("Void",D6)))</formula>
    </cfRule>
    <cfRule type="containsText" dxfId="201" priority="177" operator="containsText" text="Spirit">
      <formula>NOT(ISERROR(SEARCH("Spirit",D6)))</formula>
    </cfRule>
    <cfRule type="containsText" dxfId="200" priority="178" operator="containsText" text="Force">
      <formula>NOT(ISERROR(SEARCH("Force",D6)))</formula>
    </cfRule>
    <cfRule type="containsText" dxfId="199" priority="179" operator="containsText" text="Magic">
      <formula>NOT(ISERROR(SEARCH("Magic",D6)))</formula>
    </cfRule>
  </conditionalFormatting>
  <conditionalFormatting sqref="C6">
    <cfRule type="containsText" dxfId="198" priority="180" operator="containsText" text="Legend">
      <formula>NOT(ISERROR(SEARCH("Legend",C6)))</formula>
    </cfRule>
    <cfRule type="containsText" dxfId="197" priority="181" operator="containsText" text="Legendary">
      <formula>NOT(ISERROR(SEARCH("Legendary",C6)))</formula>
    </cfRule>
    <cfRule type="containsText" dxfId="196" priority="182" operator="containsText" text="Epic">
      <formula>NOT(ISERROR(SEARCH("Epic",C6)))</formula>
    </cfRule>
    <cfRule type="containsText" dxfId="195" priority="183" operator="containsText" text="Rare">
      <formula>NOT(ISERROR(SEARCH("Rare",C6)))</formula>
    </cfRule>
    <cfRule type="containsText" dxfId="194" priority="184" operator="containsText" text="Common">
      <formula>NOT(ISERROR(SEARCH("Common",C6)))</formula>
    </cfRule>
  </conditionalFormatting>
  <conditionalFormatting sqref="D7">
    <cfRule type="containsText" dxfId="193" priority="167" operator="containsText" text="Void">
      <formula>NOT(ISERROR(SEARCH("Void",D7)))</formula>
    </cfRule>
    <cfRule type="containsText" dxfId="192" priority="168" operator="containsText" text="Spirit">
      <formula>NOT(ISERROR(SEARCH("Spirit",D7)))</formula>
    </cfRule>
    <cfRule type="containsText" dxfId="191" priority="169" operator="containsText" text="Force">
      <formula>NOT(ISERROR(SEARCH("Force",D7)))</formula>
    </cfRule>
    <cfRule type="containsText" dxfId="190" priority="170" operator="containsText" text="Magic">
      <formula>NOT(ISERROR(SEARCH("Magic",D7)))</formula>
    </cfRule>
  </conditionalFormatting>
  <conditionalFormatting sqref="C7">
    <cfRule type="containsText" dxfId="189" priority="171" operator="containsText" text="Legend">
      <formula>NOT(ISERROR(SEARCH("Legend",C7)))</formula>
    </cfRule>
    <cfRule type="containsText" dxfId="188" priority="172" operator="containsText" text="Legendary">
      <formula>NOT(ISERROR(SEARCH("Legendary",C7)))</formula>
    </cfRule>
    <cfRule type="containsText" dxfId="187" priority="173" operator="containsText" text="Epic">
      <formula>NOT(ISERROR(SEARCH("Epic",C7)))</formula>
    </cfRule>
    <cfRule type="containsText" dxfId="186" priority="174" operator="containsText" text="Rare">
      <formula>NOT(ISERROR(SEARCH("Rare",C7)))</formula>
    </cfRule>
    <cfRule type="containsText" dxfId="185" priority="175" operator="containsText" text="Common">
      <formula>NOT(ISERROR(SEARCH("Common",C7)))</formula>
    </cfRule>
  </conditionalFormatting>
  <conditionalFormatting sqref="D8">
    <cfRule type="containsText" dxfId="184" priority="158" operator="containsText" text="Void">
      <formula>NOT(ISERROR(SEARCH("Void",D8)))</formula>
    </cfRule>
    <cfRule type="containsText" dxfId="183" priority="159" operator="containsText" text="Spirit">
      <formula>NOT(ISERROR(SEARCH("Spirit",D8)))</formula>
    </cfRule>
    <cfRule type="containsText" dxfId="182" priority="160" operator="containsText" text="Force">
      <formula>NOT(ISERROR(SEARCH("Force",D8)))</formula>
    </cfRule>
    <cfRule type="containsText" dxfId="181" priority="161" operator="containsText" text="Magic">
      <formula>NOT(ISERROR(SEARCH("Magic",D8)))</formula>
    </cfRule>
  </conditionalFormatting>
  <conditionalFormatting sqref="C8">
    <cfRule type="containsText" dxfId="180" priority="162" operator="containsText" text="Legend">
      <formula>NOT(ISERROR(SEARCH("Legend",C8)))</formula>
    </cfRule>
    <cfRule type="containsText" dxfId="179" priority="163" operator="containsText" text="Legendary">
      <formula>NOT(ISERROR(SEARCH("Legendary",C8)))</formula>
    </cfRule>
    <cfRule type="containsText" dxfId="178" priority="164" operator="containsText" text="Epic">
      <formula>NOT(ISERROR(SEARCH("Epic",C8)))</formula>
    </cfRule>
    <cfRule type="containsText" dxfId="177" priority="165" operator="containsText" text="Rare">
      <formula>NOT(ISERROR(SEARCH("Rare",C8)))</formula>
    </cfRule>
    <cfRule type="containsText" dxfId="176" priority="166" operator="containsText" text="Common">
      <formula>NOT(ISERROR(SEARCH("Common",C8)))</formula>
    </cfRule>
  </conditionalFormatting>
  <conditionalFormatting sqref="AD12:AD33">
    <cfRule type="expression" dxfId="175" priority="156">
      <formula>$C12+$D12 - 1&lt;TODAY()</formula>
    </cfRule>
    <cfRule type="expression" dxfId="174" priority="157">
      <formula>$C12&gt;TODAY()</formula>
    </cfRule>
  </conditionalFormatting>
  <conditionalFormatting sqref="AN12:AN33">
    <cfRule type="expression" dxfId="173" priority="153">
      <formula>FIND("Tournament",$B12) &gt;0</formula>
    </cfRule>
  </conditionalFormatting>
  <conditionalFormatting sqref="K37:AE58">
    <cfRule type="expression" dxfId="172" priority="143">
      <formula>K$35=TODAY()</formula>
    </cfRule>
  </conditionalFormatting>
  <conditionalFormatting sqref="K59:AD224">
    <cfRule type="expression" dxfId="171" priority="144">
      <formula>AND(NOT(ISBLANK($C59)),$C59&lt;=K$31,$D59&gt;=K$31)</formula>
    </cfRule>
    <cfRule type="expression" dxfId="170" priority="218">
      <formula>AND($C59&lt;=K$31,ROUNDDOWN(($D59-$C59+1)*$F59,0)+$C59-1&gt;=K$31)</formula>
    </cfRule>
  </conditionalFormatting>
  <conditionalFormatting sqref="K59:AD224">
    <cfRule type="expression" dxfId="169" priority="146">
      <formula>K$37=TODAY()</formula>
    </cfRule>
  </conditionalFormatting>
  <conditionalFormatting sqref="K37:AE58">
    <cfRule type="expression" dxfId="168" priority="236">
      <formula>AND($D37&lt;=K$35,ROUNDDOWN(($E37-$D37+1)*$H37,0)+$D37-1&gt;=K$35)</formula>
    </cfRule>
    <cfRule type="expression" dxfId="167" priority="237">
      <formula>AND(NOT(ISBLANK($D37)),$D37&lt;=K$35,$E37&gt;=K$35)</formula>
    </cfRule>
  </conditionalFormatting>
  <conditionalFormatting sqref="AM12:AM33 AO12:AO33">
    <cfRule type="expression" dxfId="166" priority="141">
      <formula>FIND("Tournament",$B12) &gt;0</formula>
    </cfRule>
  </conditionalFormatting>
  <conditionalFormatting sqref="BH114:BH115">
    <cfRule type="cellIs" dxfId="165" priority="103" operator="equal">
      <formula>"Void"</formula>
    </cfRule>
    <cfRule type="cellIs" dxfId="164" priority="104" operator="equal">
      <formula>"Spirit"</formula>
    </cfRule>
    <cfRule type="cellIs" dxfId="163" priority="105" operator="equal">
      <formula>"Magic"</formula>
    </cfRule>
    <cfRule type="cellIs" dxfId="162" priority="106" operator="equal">
      <formula>"Force"</formula>
    </cfRule>
  </conditionalFormatting>
  <conditionalFormatting sqref="BH103:BI103">
    <cfRule type="expression" dxfId="161" priority="9">
      <formula>AR104=1</formula>
    </cfRule>
    <cfRule type="containsText" dxfId="160" priority="137" operator="containsText" text="Void">
      <formula>NOT(ISERROR(SEARCH("Void",BH103)))</formula>
    </cfRule>
    <cfRule type="containsText" dxfId="159" priority="138" operator="containsText" text="Magic">
      <formula>NOT(ISERROR(SEARCH("Magic",BH103)))</formula>
    </cfRule>
    <cfRule type="containsText" dxfId="158" priority="139" operator="containsText" text="Spirit">
      <formula>NOT(ISERROR(SEARCH("Spirit",BH103)))</formula>
    </cfRule>
    <cfRule type="containsText" dxfId="157" priority="140" operator="containsText" text="Force">
      <formula>NOT(ISERROR(SEARCH("Force",BH103)))</formula>
    </cfRule>
  </conditionalFormatting>
  <conditionalFormatting sqref="BH112">
    <cfRule type="cellIs" dxfId="156" priority="111" operator="equal">
      <formula>"Void"</formula>
    </cfRule>
    <cfRule type="cellIs" dxfId="155" priority="112" operator="equal">
      <formula>"Spirit"</formula>
    </cfRule>
    <cfRule type="cellIs" dxfId="154" priority="113" operator="equal">
      <formula>"Magic"</formula>
    </cfRule>
    <cfRule type="cellIs" dxfId="153" priority="114" operator="equal">
      <formula>"Force"</formula>
    </cfRule>
  </conditionalFormatting>
  <conditionalFormatting sqref="BH113">
    <cfRule type="cellIs" dxfId="152" priority="107" operator="equal">
      <formula>"Void"</formula>
    </cfRule>
    <cfRule type="cellIs" dxfId="151" priority="108" operator="equal">
      <formula>"Spirit"</formula>
    </cfRule>
    <cfRule type="cellIs" dxfId="150" priority="109" operator="equal">
      <formula>"Magic"</formula>
    </cfRule>
    <cfRule type="cellIs" dxfId="149" priority="110" operator="equal">
      <formula>"Force"</formula>
    </cfRule>
  </conditionalFormatting>
  <conditionalFormatting sqref="N21">
    <cfRule type="containsText" dxfId="148" priority="87" operator="containsText" text="No">
      <formula>NOT(ISERROR(SEARCH("No",N21)))</formula>
    </cfRule>
    <cfRule type="containsText" dxfId="147" priority="88" operator="containsText" text="Yes">
      <formula>NOT(ISERROR(SEARCH("Yes",N21)))</formula>
    </cfRule>
    <cfRule type="containsText" dxfId="146" priority="89" operator="containsText" text="???">
      <formula>NOT(ISERROR(SEARCH("???",N21)))</formula>
    </cfRule>
  </conditionalFormatting>
  <conditionalFormatting sqref="N21">
    <cfRule type="expression" dxfId="145" priority="85">
      <formula>$C21+$D21 - 1&lt;TODAY()</formula>
    </cfRule>
    <cfRule type="expression" dxfId="144" priority="86">
      <formula>$C21&gt;TODAY()</formula>
    </cfRule>
  </conditionalFormatting>
  <conditionalFormatting sqref="N24">
    <cfRule type="containsText" dxfId="143" priority="82" operator="containsText" text="No">
      <formula>NOT(ISERROR(SEARCH("No",N24)))</formula>
    </cfRule>
    <cfRule type="containsText" dxfId="142" priority="83" operator="containsText" text="Yes">
      <formula>NOT(ISERROR(SEARCH("Yes",N24)))</formula>
    </cfRule>
    <cfRule type="containsText" dxfId="141" priority="84" operator="containsText" text="???">
      <formula>NOT(ISERROR(SEARCH("???",N24)))</formula>
    </cfRule>
  </conditionalFormatting>
  <conditionalFormatting sqref="N24">
    <cfRule type="expression" dxfId="140" priority="80">
      <formula>$C24+$D24 - 1&lt;TODAY()</formula>
    </cfRule>
    <cfRule type="expression" dxfId="139" priority="81">
      <formula>$C24&gt;TODAY()</formula>
    </cfRule>
  </conditionalFormatting>
  <conditionalFormatting sqref="N26">
    <cfRule type="containsText" dxfId="138" priority="77" operator="containsText" text="No">
      <formula>NOT(ISERROR(SEARCH("No",N26)))</formula>
    </cfRule>
    <cfRule type="containsText" dxfId="137" priority="78" operator="containsText" text="Yes">
      <formula>NOT(ISERROR(SEARCH("Yes",N26)))</formula>
    </cfRule>
    <cfRule type="containsText" dxfId="136" priority="79" operator="containsText" text="???">
      <formula>NOT(ISERROR(SEARCH("???",N26)))</formula>
    </cfRule>
  </conditionalFormatting>
  <conditionalFormatting sqref="N26">
    <cfRule type="expression" dxfId="135" priority="75">
      <formula>$C26+$D26 - 1&lt;TODAY()</formula>
    </cfRule>
    <cfRule type="expression" dxfId="134" priority="76">
      <formula>$C26&gt;TODAY()</formula>
    </cfRule>
  </conditionalFormatting>
  <conditionalFormatting sqref="Y24 Y16">
    <cfRule type="containsText" dxfId="133" priority="57" operator="containsText" text="No">
      <formula>NOT(ISERROR(SEARCH("No",Y16)))</formula>
    </cfRule>
    <cfRule type="containsText" dxfId="132" priority="58" operator="containsText" text="Yes">
      <formula>NOT(ISERROR(SEARCH("Yes",Y16)))</formula>
    </cfRule>
    <cfRule type="containsText" dxfId="131" priority="59" operator="containsText" text="???">
      <formula>NOT(ISERROR(SEARCH("???",Y16)))</formula>
    </cfRule>
  </conditionalFormatting>
  <conditionalFormatting sqref="Y24 Y16">
    <cfRule type="expression" dxfId="130" priority="55">
      <formula>$C16+$D16 - 1&lt;TODAY()</formula>
    </cfRule>
    <cfRule type="expression" dxfId="129" priority="56">
      <formula>$C16&gt;TODAY()</formula>
    </cfRule>
  </conditionalFormatting>
  <conditionalFormatting sqref="AJ16">
    <cfRule type="containsText" dxfId="128" priority="62" operator="containsText" text="No">
      <formula>NOT(ISERROR(SEARCH("No",AJ16)))</formula>
    </cfRule>
    <cfRule type="containsText" dxfId="127" priority="63" operator="containsText" text="Yes">
      <formula>NOT(ISERROR(SEARCH("Yes",AJ16)))</formula>
    </cfRule>
    <cfRule type="containsText" dxfId="126" priority="64" operator="containsText" text="???">
      <formula>NOT(ISERROR(SEARCH("???",AJ16)))</formula>
    </cfRule>
  </conditionalFormatting>
  <conditionalFormatting sqref="AJ16">
    <cfRule type="expression" dxfId="125" priority="60">
      <formula>$C16+$D16 - 1&lt;TODAY()</formula>
    </cfRule>
    <cfRule type="expression" dxfId="124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23" priority="16" operator="containsText" text="Spirit">
      <formula>NOT(ISERROR(SEARCH("Spirit",AU106)))</formula>
    </cfRule>
    <cfRule type="containsText" dxfId="122" priority="17" operator="containsText" text="Magic">
      <formula>NOT(ISERROR(SEARCH("Magic",AU106)))</formula>
    </cfRule>
    <cfRule type="containsText" dxfId="121" priority="18" operator="containsText" text="Force">
      <formula>NOT(ISERROR(SEARCH("Force",AU106)))</formula>
    </cfRule>
    <cfRule type="containsText" dxfId="120" priority="19" operator="containsText" text="Void">
      <formula>NOT(ISERROR(SEARCH("Void",AU106)))</formula>
    </cfRule>
  </conditionalFormatting>
  <conditionalFormatting sqref="AU107:AV107 AZ107:BA107 BE107:BF107 BJ107:BK107">
    <cfRule type="containsText" dxfId="119" priority="14" operator="containsText" text="50/50">
      <formula>NOT(ISERROR(SEARCH("50/50",AU107)))</formula>
    </cfRule>
  </conditionalFormatting>
  <conditionalFormatting sqref="AU108:AV108 AZ108:BA108 BE108:BF108 BJ108:BK108">
    <cfRule type="containsText" dxfId="118" priority="13" operator="containsText" text="✦✦✦✦✦">
      <formula>NOT(ISERROR(SEARCH("✦✦✦✦✦",AU108)))</formula>
    </cfRule>
  </conditionalFormatting>
  <conditionalFormatting sqref="AU102:BG103">
    <cfRule type="expression" dxfId="117" priority="11">
      <formula>AR104=1</formula>
    </cfRule>
    <cfRule type="expression" dxfId="116" priority="12">
      <formula>AR104=0</formula>
    </cfRule>
  </conditionalFormatting>
  <conditionalFormatting sqref="BH102:BI102">
    <cfRule type="expression" dxfId="115" priority="10">
      <formula>AR104=1</formula>
    </cfRule>
  </conditionalFormatting>
  <conditionalFormatting sqref="AS105:AV105">
    <cfRule type="expression" dxfId="114" priority="4">
      <formula>E5=""</formula>
    </cfRule>
    <cfRule type="expression" dxfId="113" priority="8">
      <formula>AS104=1</formula>
    </cfRule>
  </conditionalFormatting>
  <conditionalFormatting sqref="AX105:BA105">
    <cfRule type="expression" dxfId="112" priority="3">
      <formula>E6=""</formula>
    </cfRule>
    <cfRule type="expression" dxfId="111" priority="7">
      <formula>AX104=1</formula>
    </cfRule>
  </conditionalFormatting>
  <conditionalFormatting sqref="BC105:BF105">
    <cfRule type="expression" dxfId="110" priority="2">
      <formula>E7=""</formula>
    </cfRule>
    <cfRule type="expression" dxfId="109" priority="6">
      <formula>BC104=1</formula>
    </cfRule>
  </conditionalFormatting>
  <conditionalFormatting sqref="BH105:BK105">
    <cfRule type="expression" dxfId="108" priority="1">
      <formula>E8=""</formula>
    </cfRule>
    <cfRule type="expression" dxfId="107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A1:BI63"/>
  <sheetViews>
    <sheetView zoomScaleNormal="100" workbookViewId="0">
      <pane ySplit="5" topLeftCell="A6" activePane="bottomLeft" state="frozen"/>
      <selection pane="bottomLeft" activeCell="Y36" sqref="Y36"/>
    </sheetView>
  </sheetViews>
  <sheetFormatPr defaultColWidth="9.140625" defaultRowHeight="12.75" x14ac:dyDescent="0.2"/>
  <cols>
    <col min="1" max="1" width="1.28515625" style="204" customWidth="1"/>
    <col min="2" max="2" width="26.42578125" style="204" bestFit="1" customWidth="1"/>
    <col min="3" max="4" width="9.7109375" style="204" bestFit="1" customWidth="1"/>
    <col min="5" max="5" width="7.85546875" style="204" bestFit="1" customWidth="1"/>
    <col min="6" max="6" width="7.140625" style="204" customWidth="1"/>
    <col min="7" max="7" width="5.42578125" style="204" customWidth="1"/>
    <col min="8" max="8" width="7.85546875" style="204" customWidth="1"/>
    <col min="9" max="29" width="2.7109375" style="204" customWidth="1"/>
    <col min="30" max="30" width="10.42578125" style="204" bestFit="1" customWidth="1"/>
    <col min="31" max="31" width="1.5703125" style="204" customWidth="1"/>
    <col min="32" max="32" width="47" style="204" hidden="1" customWidth="1"/>
    <col min="33" max="33" width="47" style="204" customWidth="1"/>
    <col min="34" max="16384" width="9.140625" style="204"/>
  </cols>
  <sheetData>
    <row r="1" spans="2:61" ht="30" customHeight="1" x14ac:dyDescent="0.2">
      <c r="B1" s="569" t="s">
        <v>333</v>
      </c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  <c r="P1" s="569"/>
      <c r="Q1" s="569"/>
      <c r="R1" s="569"/>
      <c r="S1" s="569"/>
      <c r="T1" s="569"/>
      <c r="U1" s="569"/>
      <c r="V1" s="569"/>
      <c r="W1" s="569"/>
      <c r="X1" s="569"/>
      <c r="Y1" s="569"/>
      <c r="Z1" s="569"/>
      <c r="AA1" s="569"/>
      <c r="AB1" s="569"/>
      <c r="AC1" s="569"/>
      <c r="AD1" s="569"/>
    </row>
    <row r="2" spans="2:61" ht="4.5" customHeight="1" thickBot="1" x14ac:dyDescent="0.25">
      <c r="B2" s="205"/>
      <c r="C2" s="205"/>
      <c r="D2" s="205"/>
      <c r="E2" s="205"/>
      <c r="F2" s="205"/>
      <c r="G2" s="205"/>
      <c r="H2" s="205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2:61" ht="18.75" x14ac:dyDescent="0.2">
      <c r="B3" s="570" t="s">
        <v>334</v>
      </c>
      <c r="C3" s="570"/>
      <c r="D3" s="570"/>
      <c r="F3" s="571" t="s">
        <v>335</v>
      </c>
      <c r="G3" s="572"/>
      <c r="H3" s="573"/>
      <c r="K3" s="571" t="s">
        <v>336</v>
      </c>
      <c r="L3" s="572"/>
      <c r="M3" s="572"/>
      <c r="N3" s="572"/>
      <c r="O3" s="572"/>
      <c r="P3" s="572"/>
      <c r="Q3" s="572"/>
      <c r="R3" s="573"/>
      <c r="U3" s="571" t="s">
        <v>337</v>
      </c>
      <c r="V3" s="572"/>
      <c r="W3" s="572"/>
      <c r="X3" s="572"/>
      <c r="Y3" s="572"/>
      <c r="Z3" s="572"/>
      <c r="AA3" s="572"/>
      <c r="AB3" s="572"/>
      <c r="AC3" s="573"/>
    </row>
    <row r="4" spans="2:61" ht="19.5" thickBot="1" x14ac:dyDescent="0.25">
      <c r="B4" s="207" t="s">
        <v>392</v>
      </c>
      <c r="C4" s="208" t="s">
        <v>264</v>
      </c>
      <c r="D4" s="209" t="s">
        <v>265</v>
      </c>
      <c r="E4" s="210"/>
      <c r="F4" s="574">
        <f>SUM(E8:E29)+SUM(H8:H29)+SUM(N8:N29)</f>
        <v>120</v>
      </c>
      <c r="G4" s="575"/>
      <c r="H4" s="576"/>
      <c r="K4" s="574">
        <f>SUMIF(G8:G29,"Yes",E8:E29)+SUMIF(L8:L29,"Yes",H8:H29)+SUMIF(T8:T29,"Yes",N8:N29)+SUMIF(AB8:AB29,"Yes",V8:V29)</f>
        <v>90</v>
      </c>
      <c r="L4" s="575"/>
      <c r="M4" s="575"/>
      <c r="N4" s="575"/>
      <c r="O4" s="575"/>
      <c r="P4" s="575"/>
      <c r="Q4" s="575"/>
      <c r="R4" s="576"/>
      <c r="T4" s="211"/>
      <c r="U4" s="574">
        <f>SUM(H33:H47)+SUM(AD8:AD29)</f>
        <v>0</v>
      </c>
      <c r="V4" s="575"/>
      <c r="W4" s="575"/>
      <c r="X4" s="575"/>
      <c r="Y4" s="575"/>
      <c r="Z4" s="575"/>
      <c r="AA4" s="575"/>
      <c r="AB4" s="575"/>
      <c r="AC4" s="576"/>
    </row>
    <row r="5" spans="2:61" ht="4.5" customHeight="1" x14ac:dyDescent="0.2">
      <c r="B5" s="212"/>
      <c r="C5" s="210"/>
      <c r="D5" s="210"/>
      <c r="E5" s="210"/>
      <c r="F5" s="212"/>
      <c r="G5" s="212"/>
      <c r="H5" s="212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2:61" x14ac:dyDescent="0.2">
      <c r="E6" s="577" t="s">
        <v>338</v>
      </c>
      <c r="F6" s="577"/>
      <c r="G6" s="577"/>
      <c r="H6" s="577" t="s">
        <v>339</v>
      </c>
      <c r="I6" s="577"/>
      <c r="J6" s="577"/>
      <c r="K6" s="577"/>
      <c r="L6" s="577"/>
      <c r="M6" s="577"/>
      <c r="N6" s="577" t="s">
        <v>340</v>
      </c>
      <c r="O6" s="577"/>
      <c r="P6" s="577"/>
      <c r="Q6" s="577"/>
      <c r="R6" s="577"/>
      <c r="S6" s="577"/>
      <c r="T6" s="577"/>
      <c r="U6" s="577"/>
      <c r="V6" s="577" t="s">
        <v>341</v>
      </c>
      <c r="W6" s="577"/>
      <c r="X6" s="577"/>
      <c r="Y6" s="577"/>
      <c r="Z6" s="577"/>
      <c r="AA6" s="577"/>
      <c r="AB6" s="577"/>
      <c r="AC6" s="577"/>
      <c r="AD6" s="213" t="s">
        <v>342</v>
      </c>
      <c r="AF6" s="214" t="s">
        <v>343</v>
      </c>
    </row>
    <row r="7" spans="2:61" x14ac:dyDescent="0.2">
      <c r="B7" s="215" t="s">
        <v>344</v>
      </c>
      <c r="C7" s="216" t="s">
        <v>345</v>
      </c>
      <c r="D7" s="217" t="s">
        <v>346</v>
      </c>
      <c r="E7" s="216" t="s">
        <v>347</v>
      </c>
      <c r="F7" s="216" t="s">
        <v>348</v>
      </c>
      <c r="G7" s="216" t="s">
        <v>349</v>
      </c>
      <c r="H7" s="216" t="s">
        <v>347</v>
      </c>
      <c r="I7" s="578" t="s">
        <v>348</v>
      </c>
      <c r="J7" s="578"/>
      <c r="K7" s="578"/>
      <c r="L7" s="578" t="s">
        <v>349</v>
      </c>
      <c r="M7" s="578"/>
      <c r="N7" s="578" t="s">
        <v>347</v>
      </c>
      <c r="O7" s="578"/>
      <c r="P7" s="578"/>
      <c r="Q7" s="578" t="s">
        <v>348</v>
      </c>
      <c r="R7" s="578"/>
      <c r="S7" s="578"/>
      <c r="T7" s="578" t="s">
        <v>349</v>
      </c>
      <c r="U7" s="578"/>
      <c r="V7" s="578" t="s">
        <v>347</v>
      </c>
      <c r="W7" s="578"/>
      <c r="X7" s="578"/>
      <c r="Y7" s="578" t="s">
        <v>348</v>
      </c>
      <c r="Z7" s="578"/>
      <c r="AA7" s="578"/>
      <c r="AB7" s="578" t="s">
        <v>349</v>
      </c>
      <c r="AC7" s="578"/>
      <c r="AD7" s="213" t="s">
        <v>347</v>
      </c>
      <c r="AF7" s="218" t="s">
        <v>350</v>
      </c>
    </row>
    <row r="8" spans="2:61" x14ac:dyDescent="0.2">
      <c r="B8" s="219" t="s">
        <v>351</v>
      </c>
      <c r="C8" s="220">
        <v>44271</v>
      </c>
      <c r="D8" s="221">
        <v>5</v>
      </c>
      <c r="E8" s="222">
        <v>5</v>
      </c>
      <c r="F8" s="223">
        <v>2000</v>
      </c>
      <c r="G8" s="222" t="s">
        <v>352</v>
      </c>
      <c r="H8" s="222"/>
      <c r="I8" s="579"/>
      <c r="J8" s="579"/>
      <c r="K8" s="579"/>
      <c r="L8" s="580"/>
      <c r="M8" s="580"/>
      <c r="N8" s="580"/>
      <c r="O8" s="580"/>
      <c r="P8" s="580"/>
      <c r="Q8" s="579"/>
      <c r="R8" s="579"/>
      <c r="S8" s="579"/>
      <c r="T8" s="580"/>
      <c r="U8" s="580"/>
      <c r="V8" s="580"/>
      <c r="W8" s="580"/>
      <c r="X8" s="580"/>
      <c r="Y8" s="579"/>
      <c r="Z8" s="579"/>
      <c r="AA8" s="579"/>
      <c r="AB8" s="580"/>
      <c r="AC8" s="580"/>
      <c r="BI8" s="225"/>
    </row>
    <row r="9" spans="2:61" x14ac:dyDescent="0.2">
      <c r="B9" s="219" t="s">
        <v>353</v>
      </c>
      <c r="C9" s="220">
        <v>44271</v>
      </c>
      <c r="D9" s="221">
        <v>4</v>
      </c>
      <c r="E9" s="222">
        <v>5</v>
      </c>
      <c r="F9" s="223">
        <v>1800</v>
      </c>
      <c r="G9" s="222" t="s">
        <v>222</v>
      </c>
      <c r="H9" s="222"/>
      <c r="I9" s="579"/>
      <c r="J9" s="579"/>
      <c r="K9" s="579"/>
      <c r="L9" s="580"/>
      <c r="M9" s="580"/>
      <c r="N9" s="580"/>
      <c r="O9" s="580"/>
      <c r="P9" s="580"/>
      <c r="Q9" s="579"/>
      <c r="R9" s="579"/>
      <c r="S9" s="579"/>
      <c r="T9" s="580"/>
      <c r="U9" s="580"/>
      <c r="V9" s="580"/>
      <c r="W9" s="580"/>
      <c r="X9" s="580"/>
      <c r="Y9" s="579"/>
      <c r="Z9" s="579"/>
      <c r="AA9" s="579"/>
      <c r="AB9" s="580"/>
      <c r="AC9" s="580"/>
      <c r="AF9" s="218" t="s">
        <v>354</v>
      </c>
      <c r="BI9" s="225"/>
    </row>
    <row r="10" spans="2:61" x14ac:dyDescent="0.2">
      <c r="B10" s="219" t="s">
        <v>355</v>
      </c>
      <c r="C10" s="220">
        <v>44272</v>
      </c>
      <c r="D10" s="221">
        <v>6</v>
      </c>
      <c r="E10" s="222">
        <v>5</v>
      </c>
      <c r="F10" s="223">
        <v>365</v>
      </c>
      <c r="G10" s="222" t="s">
        <v>352</v>
      </c>
      <c r="H10" s="222"/>
      <c r="I10" s="579"/>
      <c r="J10" s="579"/>
      <c r="K10" s="579"/>
      <c r="L10" s="580"/>
      <c r="M10" s="580"/>
      <c r="N10" s="580"/>
      <c r="O10" s="580"/>
      <c r="P10" s="580"/>
      <c r="Q10" s="579"/>
      <c r="R10" s="579"/>
      <c r="S10" s="579"/>
      <c r="T10" s="580"/>
      <c r="U10" s="580"/>
      <c r="V10" s="580"/>
      <c r="W10" s="580"/>
      <c r="X10" s="580"/>
      <c r="Y10" s="579"/>
      <c r="Z10" s="579"/>
      <c r="AA10" s="579"/>
      <c r="AB10" s="580"/>
      <c r="AC10" s="580"/>
      <c r="AF10" s="204" t="s">
        <v>356</v>
      </c>
      <c r="BI10" s="225"/>
    </row>
    <row r="11" spans="2:61" x14ac:dyDescent="0.2">
      <c r="B11" s="219" t="s">
        <v>357</v>
      </c>
      <c r="C11" s="220">
        <v>44273</v>
      </c>
      <c r="D11" s="221">
        <v>5</v>
      </c>
      <c r="E11" s="222">
        <v>5</v>
      </c>
      <c r="F11" s="223">
        <v>2000</v>
      </c>
      <c r="G11" s="222" t="s">
        <v>352</v>
      </c>
      <c r="H11" s="222"/>
      <c r="I11" s="579"/>
      <c r="J11" s="579"/>
      <c r="K11" s="579"/>
      <c r="L11" s="580"/>
      <c r="M11" s="580"/>
      <c r="N11" s="580"/>
      <c r="O11" s="580"/>
      <c r="P11" s="580"/>
      <c r="Q11" s="579"/>
      <c r="R11" s="579"/>
      <c r="S11" s="579"/>
      <c r="T11" s="580"/>
      <c r="U11" s="580"/>
      <c r="V11" s="580"/>
      <c r="W11" s="580"/>
      <c r="X11" s="580"/>
      <c r="Y11" s="579"/>
      <c r="Z11" s="579"/>
      <c r="AA11" s="579"/>
      <c r="AB11" s="580"/>
      <c r="AC11" s="580"/>
      <c r="BI11" s="225"/>
    </row>
    <row r="12" spans="2:61" x14ac:dyDescent="0.2">
      <c r="B12" s="219" t="s">
        <v>358</v>
      </c>
      <c r="C12" s="220">
        <v>44274</v>
      </c>
      <c r="D12" s="221">
        <v>4</v>
      </c>
      <c r="E12" s="222">
        <v>5</v>
      </c>
      <c r="F12" s="223">
        <v>330</v>
      </c>
      <c r="G12" s="222" t="s">
        <v>352</v>
      </c>
      <c r="H12" s="222">
        <v>5</v>
      </c>
      <c r="I12" s="579">
        <v>1070</v>
      </c>
      <c r="J12" s="579"/>
      <c r="K12" s="579"/>
      <c r="L12" s="580" t="s">
        <v>352</v>
      </c>
      <c r="M12" s="580"/>
      <c r="N12" s="580">
        <v>10</v>
      </c>
      <c r="O12" s="580"/>
      <c r="P12" s="580"/>
      <c r="Q12" s="579">
        <v>3300</v>
      </c>
      <c r="R12" s="579"/>
      <c r="S12" s="579"/>
      <c r="T12" s="580" t="s">
        <v>222</v>
      </c>
      <c r="U12" s="580"/>
      <c r="V12" s="580"/>
      <c r="W12" s="580"/>
      <c r="X12" s="580"/>
      <c r="Y12" s="579"/>
      <c r="Z12" s="579"/>
      <c r="AA12" s="579"/>
      <c r="AB12" s="580"/>
      <c r="AC12" s="580"/>
      <c r="AF12" s="218" t="s">
        <v>359</v>
      </c>
      <c r="BI12" s="225"/>
    </row>
    <row r="13" spans="2:61" x14ac:dyDescent="0.2">
      <c r="B13" s="219" t="s">
        <v>360</v>
      </c>
      <c r="C13" s="220">
        <v>44274</v>
      </c>
      <c r="D13" s="221">
        <v>5</v>
      </c>
      <c r="E13" s="222">
        <v>5</v>
      </c>
      <c r="F13" s="223">
        <v>2121</v>
      </c>
      <c r="G13" s="222" t="s">
        <v>352</v>
      </c>
      <c r="H13" s="222">
        <v>5</v>
      </c>
      <c r="I13" s="579">
        <v>5500</v>
      </c>
      <c r="J13" s="579"/>
      <c r="K13" s="579"/>
      <c r="L13" s="580" t="s">
        <v>352</v>
      </c>
      <c r="M13" s="580"/>
      <c r="N13" s="580">
        <v>5</v>
      </c>
      <c r="O13" s="580"/>
      <c r="P13" s="580"/>
      <c r="Q13" s="579">
        <v>10000</v>
      </c>
      <c r="R13" s="579"/>
      <c r="S13" s="579"/>
      <c r="T13" s="580" t="s">
        <v>361</v>
      </c>
      <c r="U13" s="580"/>
      <c r="V13" s="580"/>
      <c r="W13" s="580"/>
      <c r="X13" s="580"/>
      <c r="Y13" s="579"/>
      <c r="Z13" s="579"/>
      <c r="AA13" s="579"/>
      <c r="AB13" s="580"/>
      <c r="AC13" s="580"/>
      <c r="AF13" s="204" t="s">
        <v>362</v>
      </c>
      <c r="BI13" s="225"/>
    </row>
    <row r="14" spans="2:61" x14ac:dyDescent="0.2">
      <c r="B14" s="219" t="s">
        <v>363</v>
      </c>
      <c r="C14" s="220">
        <v>44274</v>
      </c>
      <c r="D14" s="221">
        <v>4</v>
      </c>
      <c r="E14" s="222">
        <v>5</v>
      </c>
      <c r="F14" s="223">
        <v>1800</v>
      </c>
      <c r="G14" s="222" t="s">
        <v>352</v>
      </c>
      <c r="H14" s="222"/>
      <c r="I14" s="579"/>
      <c r="J14" s="579"/>
      <c r="K14" s="579"/>
      <c r="L14" s="580"/>
      <c r="M14" s="580"/>
      <c r="N14" s="580"/>
      <c r="O14" s="580"/>
      <c r="P14" s="580"/>
      <c r="Q14" s="579"/>
      <c r="R14" s="579"/>
      <c r="S14" s="579"/>
      <c r="T14" s="580"/>
      <c r="U14" s="580"/>
      <c r="V14" s="580"/>
      <c r="W14" s="580"/>
      <c r="X14" s="580"/>
      <c r="Y14" s="579"/>
      <c r="Z14" s="579"/>
      <c r="AA14" s="579"/>
      <c r="AB14" s="580"/>
      <c r="AC14" s="580"/>
      <c r="BI14" s="225"/>
    </row>
    <row r="15" spans="2:61" x14ac:dyDescent="0.2">
      <c r="B15" s="219" t="s">
        <v>364</v>
      </c>
      <c r="C15" s="220">
        <v>44275</v>
      </c>
      <c r="D15" s="221">
        <v>4</v>
      </c>
      <c r="E15" s="222">
        <v>5</v>
      </c>
      <c r="F15" s="223">
        <v>1800</v>
      </c>
      <c r="G15" s="222" t="s">
        <v>352</v>
      </c>
      <c r="H15" s="222"/>
      <c r="I15" s="579"/>
      <c r="J15" s="579"/>
      <c r="K15" s="579"/>
      <c r="L15" s="580"/>
      <c r="M15" s="580"/>
      <c r="N15" s="580"/>
      <c r="O15" s="580"/>
      <c r="P15" s="580"/>
      <c r="Q15" s="579"/>
      <c r="R15" s="579"/>
      <c r="S15" s="579"/>
      <c r="T15" s="580"/>
      <c r="U15" s="580"/>
      <c r="V15" s="580"/>
      <c r="W15" s="580"/>
      <c r="X15" s="580"/>
      <c r="Y15" s="579"/>
      <c r="Z15" s="579"/>
      <c r="AA15" s="579"/>
      <c r="AB15" s="580"/>
      <c r="AC15" s="580"/>
      <c r="AF15" s="218" t="s">
        <v>365</v>
      </c>
      <c r="BI15" s="225"/>
    </row>
    <row r="16" spans="2:61" x14ac:dyDescent="0.2">
      <c r="B16" s="219" t="s">
        <v>366</v>
      </c>
      <c r="C16" s="220">
        <v>44277</v>
      </c>
      <c r="D16" s="221">
        <v>6</v>
      </c>
      <c r="E16" s="222">
        <v>5</v>
      </c>
      <c r="F16" s="223">
        <v>1225</v>
      </c>
      <c r="G16" s="222" t="s">
        <v>352</v>
      </c>
      <c r="H16" s="222">
        <v>5</v>
      </c>
      <c r="I16" s="579">
        <v>4775</v>
      </c>
      <c r="J16" s="579"/>
      <c r="K16" s="579"/>
      <c r="L16" s="580" t="s">
        <v>352</v>
      </c>
      <c r="M16" s="580"/>
      <c r="N16" s="580"/>
      <c r="O16" s="580"/>
      <c r="P16" s="580"/>
      <c r="Q16" s="579"/>
      <c r="R16" s="579"/>
      <c r="S16" s="579"/>
      <c r="T16" s="580"/>
      <c r="U16" s="580"/>
      <c r="V16" s="580"/>
      <c r="W16" s="580"/>
      <c r="X16" s="580"/>
      <c r="Y16" s="579"/>
      <c r="Z16" s="579"/>
      <c r="AA16" s="579"/>
      <c r="AB16" s="580"/>
      <c r="AC16" s="580"/>
      <c r="AF16" s="204" t="s">
        <v>367</v>
      </c>
      <c r="BI16" s="225"/>
    </row>
    <row r="17" spans="2:61" x14ac:dyDescent="0.2">
      <c r="B17" s="219" t="s">
        <v>368</v>
      </c>
      <c r="C17" s="220">
        <v>44280</v>
      </c>
      <c r="D17" s="221">
        <v>5</v>
      </c>
      <c r="E17" s="222">
        <v>5</v>
      </c>
      <c r="F17" s="223">
        <v>2500</v>
      </c>
      <c r="G17" s="222" t="s">
        <v>352</v>
      </c>
      <c r="H17" s="222"/>
      <c r="I17" s="579"/>
      <c r="J17" s="579"/>
      <c r="K17" s="579"/>
      <c r="L17" s="580"/>
      <c r="M17" s="580"/>
      <c r="N17" s="580"/>
      <c r="O17" s="580"/>
      <c r="P17" s="580"/>
      <c r="Q17" s="579"/>
      <c r="R17" s="579"/>
      <c r="S17" s="579"/>
      <c r="T17" s="580"/>
      <c r="U17" s="580"/>
      <c r="V17" s="580"/>
      <c r="W17" s="580"/>
      <c r="X17" s="580"/>
      <c r="Y17" s="579"/>
      <c r="Z17" s="579"/>
      <c r="AA17" s="579"/>
      <c r="AB17" s="580"/>
      <c r="AC17" s="580"/>
      <c r="BI17" s="225"/>
    </row>
    <row r="18" spans="2:61" x14ac:dyDescent="0.2">
      <c r="B18" s="219" t="s">
        <v>369</v>
      </c>
      <c r="C18" s="220">
        <v>44281</v>
      </c>
      <c r="D18" s="221">
        <v>4</v>
      </c>
      <c r="E18" s="222">
        <v>5</v>
      </c>
      <c r="F18" s="223">
        <v>250</v>
      </c>
      <c r="G18" s="222" t="s">
        <v>352</v>
      </c>
      <c r="H18" s="222">
        <v>10</v>
      </c>
      <c r="I18" s="579">
        <v>1150</v>
      </c>
      <c r="J18" s="579"/>
      <c r="K18" s="579"/>
      <c r="L18" s="580" t="s">
        <v>352</v>
      </c>
      <c r="M18" s="580"/>
      <c r="N18" s="580"/>
      <c r="O18" s="580"/>
      <c r="P18" s="580"/>
      <c r="Q18" s="579"/>
      <c r="R18" s="579"/>
      <c r="S18" s="579"/>
      <c r="T18" s="580"/>
      <c r="U18" s="580"/>
      <c r="V18" s="580"/>
      <c r="W18" s="580"/>
      <c r="X18" s="580"/>
      <c r="Y18" s="579"/>
      <c r="Z18" s="579"/>
      <c r="AA18" s="579"/>
      <c r="AB18" s="580"/>
      <c r="AC18" s="580"/>
      <c r="AF18" s="218" t="s">
        <v>370</v>
      </c>
      <c r="BI18" s="225"/>
    </row>
    <row r="19" spans="2:61" x14ac:dyDescent="0.2">
      <c r="B19" s="219" t="s">
        <v>371</v>
      </c>
      <c r="C19" s="220">
        <v>44281</v>
      </c>
      <c r="D19" s="221">
        <v>4</v>
      </c>
      <c r="E19" s="222">
        <v>5</v>
      </c>
      <c r="F19" s="223">
        <v>280</v>
      </c>
      <c r="G19" s="222" t="s">
        <v>352</v>
      </c>
      <c r="H19" s="222"/>
      <c r="I19" s="579"/>
      <c r="J19" s="579"/>
      <c r="K19" s="579"/>
      <c r="L19" s="580"/>
      <c r="M19" s="580"/>
      <c r="N19" s="580"/>
      <c r="O19" s="580"/>
      <c r="P19" s="580"/>
      <c r="Q19" s="579"/>
      <c r="R19" s="579"/>
      <c r="S19" s="579"/>
      <c r="T19" s="580"/>
      <c r="U19" s="580"/>
      <c r="V19" s="580"/>
      <c r="W19" s="580"/>
      <c r="X19" s="580"/>
      <c r="Y19" s="579"/>
      <c r="Z19" s="579"/>
      <c r="AA19" s="579"/>
      <c r="AB19" s="580"/>
      <c r="AC19" s="580"/>
      <c r="AF19" s="204" t="s">
        <v>372</v>
      </c>
      <c r="BI19" s="225"/>
    </row>
    <row r="20" spans="2:61" x14ac:dyDescent="0.2">
      <c r="B20" s="219" t="s">
        <v>373</v>
      </c>
      <c r="C20" s="220">
        <v>44282</v>
      </c>
      <c r="D20" s="221">
        <v>5</v>
      </c>
      <c r="E20" s="222">
        <v>5</v>
      </c>
      <c r="F20" s="223">
        <v>2850</v>
      </c>
      <c r="G20" s="222" t="s">
        <v>352</v>
      </c>
      <c r="H20" s="222">
        <v>10</v>
      </c>
      <c r="I20" s="579">
        <v>8350</v>
      </c>
      <c r="J20" s="579"/>
      <c r="K20" s="579"/>
      <c r="L20" s="580" t="s">
        <v>361</v>
      </c>
      <c r="M20" s="580"/>
      <c r="N20" s="580"/>
      <c r="O20" s="580"/>
      <c r="P20" s="580"/>
      <c r="Q20" s="579"/>
      <c r="R20" s="579"/>
      <c r="S20" s="579"/>
      <c r="T20" s="580"/>
      <c r="U20" s="580"/>
      <c r="V20" s="580"/>
      <c r="W20" s="580"/>
      <c r="X20" s="580"/>
      <c r="Y20" s="579"/>
      <c r="Z20" s="579"/>
      <c r="AA20" s="579"/>
      <c r="AB20" s="580"/>
      <c r="AC20" s="580"/>
      <c r="AF20" s="204" t="s">
        <v>374</v>
      </c>
      <c r="BI20" s="225"/>
    </row>
    <row r="21" spans="2:61" x14ac:dyDescent="0.2">
      <c r="B21" s="219" t="s">
        <v>375</v>
      </c>
      <c r="C21" s="220">
        <v>44282</v>
      </c>
      <c r="D21" s="221">
        <v>4</v>
      </c>
      <c r="E21" s="222">
        <v>5</v>
      </c>
      <c r="F21" s="223">
        <v>1800</v>
      </c>
      <c r="G21" s="222" t="s">
        <v>352</v>
      </c>
      <c r="H21" s="222"/>
      <c r="I21" s="579"/>
      <c r="J21" s="579"/>
      <c r="K21" s="579"/>
      <c r="L21" s="580"/>
      <c r="M21" s="580"/>
      <c r="N21" s="580"/>
      <c r="O21" s="580"/>
      <c r="P21" s="580"/>
      <c r="Q21" s="579"/>
      <c r="R21" s="579"/>
      <c r="S21" s="579"/>
      <c r="T21" s="580"/>
      <c r="U21" s="580"/>
      <c r="V21" s="580"/>
      <c r="W21" s="580"/>
      <c r="X21" s="580"/>
      <c r="Y21" s="579"/>
      <c r="Z21" s="579"/>
      <c r="AA21" s="579"/>
      <c r="AB21" s="580"/>
      <c r="AC21" s="580"/>
      <c r="BI21" s="225"/>
    </row>
    <row r="22" spans="2:61" x14ac:dyDescent="0.2">
      <c r="B22" s="219"/>
      <c r="C22" s="220"/>
      <c r="D22" s="221"/>
      <c r="E22" s="224"/>
      <c r="F22" s="223"/>
      <c r="G22" s="224"/>
      <c r="H22" s="224"/>
      <c r="I22" s="561"/>
      <c r="J22" s="562"/>
      <c r="K22" s="563"/>
      <c r="L22" s="564"/>
      <c r="M22" s="565"/>
      <c r="N22" s="564"/>
      <c r="O22" s="568"/>
      <c r="P22" s="565"/>
      <c r="Q22" s="561"/>
      <c r="R22" s="562"/>
      <c r="S22" s="563"/>
      <c r="T22" s="564"/>
      <c r="U22" s="565"/>
      <c r="V22" s="564"/>
      <c r="W22" s="568"/>
      <c r="X22" s="565"/>
      <c r="Y22" s="561"/>
      <c r="Z22" s="562"/>
      <c r="AA22" s="563"/>
      <c r="AB22" s="564"/>
      <c r="AC22" s="565"/>
      <c r="BI22" s="225"/>
    </row>
    <row r="23" spans="2:61" x14ac:dyDescent="0.2">
      <c r="B23" s="219"/>
      <c r="C23" s="220"/>
      <c r="D23" s="221"/>
      <c r="E23" s="224"/>
      <c r="F23" s="223"/>
      <c r="G23" s="224"/>
      <c r="H23" s="224"/>
      <c r="I23" s="561"/>
      <c r="J23" s="562"/>
      <c r="K23" s="563"/>
      <c r="L23" s="564"/>
      <c r="M23" s="565"/>
      <c r="N23" s="564"/>
      <c r="O23" s="568"/>
      <c r="P23" s="565"/>
      <c r="Q23" s="561"/>
      <c r="R23" s="562"/>
      <c r="S23" s="563"/>
      <c r="T23" s="564"/>
      <c r="U23" s="565"/>
      <c r="V23" s="564"/>
      <c r="W23" s="568"/>
      <c r="X23" s="565"/>
      <c r="Y23" s="561"/>
      <c r="Z23" s="562"/>
      <c r="AA23" s="563"/>
      <c r="AB23" s="564"/>
      <c r="AC23" s="565"/>
      <c r="BI23" s="225"/>
    </row>
    <row r="24" spans="2:61" x14ac:dyDescent="0.2">
      <c r="B24" s="219"/>
      <c r="C24" s="220"/>
      <c r="D24" s="221"/>
      <c r="E24" s="224"/>
      <c r="F24" s="223"/>
      <c r="G24" s="224"/>
      <c r="H24" s="224"/>
      <c r="I24" s="561"/>
      <c r="J24" s="562"/>
      <c r="K24" s="563"/>
      <c r="L24" s="564"/>
      <c r="M24" s="565"/>
      <c r="N24" s="564"/>
      <c r="O24" s="568"/>
      <c r="P24" s="565"/>
      <c r="Q24" s="561"/>
      <c r="R24" s="562"/>
      <c r="S24" s="563"/>
      <c r="T24" s="564"/>
      <c r="U24" s="565"/>
      <c r="V24" s="564"/>
      <c r="W24" s="568"/>
      <c r="X24" s="565"/>
      <c r="Y24" s="561"/>
      <c r="Z24" s="562"/>
      <c r="AA24" s="563"/>
      <c r="AB24" s="564"/>
      <c r="AC24" s="565"/>
      <c r="BI24" s="225"/>
    </row>
    <row r="25" spans="2:61" x14ac:dyDescent="0.2">
      <c r="B25" s="219"/>
      <c r="C25" s="220"/>
      <c r="D25" s="221"/>
      <c r="E25" s="224"/>
      <c r="F25" s="223"/>
      <c r="G25" s="224"/>
      <c r="H25" s="224"/>
      <c r="I25" s="561"/>
      <c r="J25" s="562"/>
      <c r="K25" s="563"/>
      <c r="L25" s="564"/>
      <c r="M25" s="565"/>
      <c r="N25" s="564"/>
      <c r="O25" s="568"/>
      <c r="P25" s="565"/>
      <c r="Q25" s="561"/>
      <c r="R25" s="562"/>
      <c r="S25" s="563"/>
      <c r="T25" s="564"/>
      <c r="U25" s="565"/>
      <c r="V25" s="564"/>
      <c r="W25" s="568"/>
      <c r="X25" s="565"/>
      <c r="Y25" s="561"/>
      <c r="Z25" s="562"/>
      <c r="AA25" s="563"/>
      <c r="AB25" s="564"/>
      <c r="AC25" s="565"/>
      <c r="BI25" s="225"/>
    </row>
    <row r="26" spans="2:61" x14ac:dyDescent="0.2">
      <c r="B26" s="219"/>
      <c r="C26" s="220"/>
      <c r="D26" s="221"/>
      <c r="E26" s="224"/>
      <c r="F26" s="223"/>
      <c r="G26" s="224"/>
      <c r="H26" s="224"/>
      <c r="I26" s="561"/>
      <c r="J26" s="562"/>
      <c r="K26" s="563"/>
      <c r="L26" s="564"/>
      <c r="M26" s="565"/>
      <c r="N26" s="564"/>
      <c r="O26" s="568"/>
      <c r="P26" s="565"/>
      <c r="Q26" s="561"/>
      <c r="R26" s="562"/>
      <c r="S26" s="563"/>
      <c r="T26" s="564"/>
      <c r="U26" s="565"/>
      <c r="V26" s="564"/>
      <c r="W26" s="568"/>
      <c r="X26" s="565"/>
      <c r="Y26" s="561"/>
      <c r="Z26" s="562"/>
      <c r="AA26" s="563"/>
      <c r="AB26" s="564"/>
      <c r="AC26" s="565"/>
      <c r="BI26" s="225"/>
    </row>
    <row r="27" spans="2:61" x14ac:dyDescent="0.2">
      <c r="B27" s="219"/>
      <c r="C27" s="220"/>
      <c r="D27" s="221"/>
      <c r="E27" s="224"/>
      <c r="F27" s="223"/>
      <c r="G27" s="224"/>
      <c r="H27" s="224"/>
      <c r="I27" s="561"/>
      <c r="J27" s="562"/>
      <c r="K27" s="563"/>
      <c r="L27" s="564"/>
      <c r="M27" s="565"/>
      <c r="N27" s="564"/>
      <c r="O27" s="568"/>
      <c r="P27" s="565"/>
      <c r="Q27" s="561"/>
      <c r="R27" s="562"/>
      <c r="S27" s="563"/>
      <c r="T27" s="564"/>
      <c r="U27" s="565"/>
      <c r="V27" s="564"/>
      <c r="W27" s="568"/>
      <c r="X27" s="565"/>
      <c r="Y27" s="561"/>
      <c r="Z27" s="562"/>
      <c r="AA27" s="563"/>
      <c r="AB27" s="564"/>
      <c r="AC27" s="565"/>
      <c r="BI27" s="225"/>
    </row>
    <row r="28" spans="2:61" x14ac:dyDescent="0.2">
      <c r="B28" s="219"/>
      <c r="C28" s="220"/>
      <c r="D28" s="221"/>
      <c r="E28" s="224"/>
      <c r="F28" s="223"/>
      <c r="G28" s="224"/>
      <c r="H28" s="224"/>
      <c r="I28" s="561"/>
      <c r="J28" s="562"/>
      <c r="K28" s="563"/>
      <c r="L28" s="564"/>
      <c r="M28" s="565"/>
      <c r="N28" s="564"/>
      <c r="O28" s="568"/>
      <c r="P28" s="565"/>
      <c r="Q28" s="561"/>
      <c r="R28" s="562"/>
      <c r="S28" s="563"/>
      <c r="T28" s="564"/>
      <c r="U28" s="565"/>
      <c r="V28" s="564"/>
      <c r="W28" s="568"/>
      <c r="X28" s="565"/>
      <c r="Y28" s="561"/>
      <c r="Z28" s="562"/>
      <c r="AA28" s="563"/>
      <c r="AB28" s="564"/>
      <c r="AC28" s="565"/>
      <c r="BI28" s="225"/>
    </row>
    <row r="29" spans="2:61" x14ac:dyDescent="0.2">
      <c r="B29" s="219"/>
      <c r="C29" s="220"/>
      <c r="D29" s="221"/>
      <c r="E29" s="222"/>
      <c r="F29" s="223"/>
      <c r="G29" s="222"/>
      <c r="H29" s="222"/>
      <c r="I29" s="579"/>
      <c r="J29" s="579"/>
      <c r="K29" s="579"/>
      <c r="L29" s="580"/>
      <c r="M29" s="580"/>
      <c r="N29" s="580"/>
      <c r="O29" s="580"/>
      <c r="P29" s="580"/>
      <c r="Q29" s="579"/>
      <c r="R29" s="579"/>
      <c r="S29" s="579"/>
      <c r="T29" s="580"/>
      <c r="U29" s="580"/>
      <c r="V29" s="580"/>
      <c r="W29" s="580"/>
      <c r="X29" s="580"/>
      <c r="Y29" s="579"/>
      <c r="Z29" s="579"/>
      <c r="AA29" s="579"/>
      <c r="AB29" s="580"/>
      <c r="AC29" s="580"/>
      <c r="AF29" s="214" t="s">
        <v>376</v>
      </c>
      <c r="BI29" s="225"/>
    </row>
    <row r="30" spans="2:61" x14ac:dyDescent="0.2">
      <c r="B30" s="226"/>
      <c r="C30" s="212"/>
      <c r="D30" s="212"/>
      <c r="E30" s="212"/>
      <c r="F30" s="212"/>
      <c r="G30" s="212"/>
      <c r="H30" s="212"/>
      <c r="J30" s="227"/>
      <c r="K30" s="227"/>
      <c r="L30" s="227"/>
      <c r="M30" s="227"/>
      <c r="N30" s="227"/>
      <c r="O30" s="227"/>
      <c r="P30" s="227"/>
      <c r="Q30" s="227"/>
      <c r="R30" s="227"/>
      <c r="S30" s="227"/>
      <c r="T30" s="227"/>
      <c r="U30" s="227"/>
      <c r="V30" s="227"/>
      <c r="W30" s="227"/>
      <c r="X30" s="227"/>
      <c r="Y30" s="227"/>
      <c r="Z30" s="227"/>
      <c r="AA30" s="227"/>
      <c r="AB30" s="227"/>
      <c r="AC30" s="227"/>
      <c r="AF30" s="204" t="s">
        <v>377</v>
      </c>
    </row>
    <row r="31" spans="2:61" ht="24" customHeight="1" x14ac:dyDescent="0.2">
      <c r="B31" s="566" t="s">
        <v>378</v>
      </c>
      <c r="C31" s="566"/>
      <c r="D31" s="566"/>
      <c r="E31" s="566"/>
      <c r="F31" s="566"/>
      <c r="G31" s="566"/>
      <c r="H31" s="566"/>
      <c r="I31" s="228">
        <f>C33-WEEKDAY(C33,1)+2</f>
        <v>44270</v>
      </c>
      <c r="J31" s="228">
        <f t="shared" ref="J31:AC31" si="0">I31+1</f>
        <v>44271</v>
      </c>
      <c r="K31" s="228">
        <f t="shared" si="0"/>
        <v>44272</v>
      </c>
      <c r="L31" s="228">
        <f t="shared" si="0"/>
        <v>44273</v>
      </c>
      <c r="M31" s="228">
        <f t="shared" si="0"/>
        <v>44274</v>
      </c>
      <c r="N31" s="228">
        <f t="shared" si="0"/>
        <v>44275</v>
      </c>
      <c r="O31" s="229">
        <f t="shared" si="0"/>
        <v>44276</v>
      </c>
      <c r="P31" s="230">
        <f t="shared" si="0"/>
        <v>44277</v>
      </c>
      <c r="Q31" s="228">
        <f t="shared" si="0"/>
        <v>44278</v>
      </c>
      <c r="R31" s="228">
        <f t="shared" si="0"/>
        <v>44279</v>
      </c>
      <c r="S31" s="228">
        <f t="shared" si="0"/>
        <v>44280</v>
      </c>
      <c r="T31" s="228">
        <f t="shared" si="0"/>
        <v>44281</v>
      </c>
      <c r="U31" s="228">
        <f t="shared" si="0"/>
        <v>44282</v>
      </c>
      <c r="V31" s="229">
        <f t="shared" si="0"/>
        <v>44283</v>
      </c>
      <c r="W31" s="230">
        <f t="shared" si="0"/>
        <v>44284</v>
      </c>
      <c r="X31" s="228">
        <f t="shared" si="0"/>
        <v>44285</v>
      </c>
      <c r="Y31" s="228">
        <f t="shared" si="0"/>
        <v>44286</v>
      </c>
      <c r="Z31" s="228">
        <f t="shared" si="0"/>
        <v>44287</v>
      </c>
      <c r="AA31" s="228">
        <f t="shared" si="0"/>
        <v>44288</v>
      </c>
      <c r="AB31" s="228">
        <f t="shared" si="0"/>
        <v>44289</v>
      </c>
      <c r="AC31" s="229">
        <f t="shared" si="0"/>
        <v>44290</v>
      </c>
      <c r="AF31" s="231" t="s">
        <v>379</v>
      </c>
    </row>
    <row r="32" spans="2:61" ht="26.25" thickBot="1" x14ac:dyDescent="0.25">
      <c r="B32" s="232" t="s">
        <v>344</v>
      </c>
      <c r="C32" s="233" t="s">
        <v>345</v>
      </c>
      <c r="D32" s="233" t="s">
        <v>380</v>
      </c>
      <c r="E32" s="234" t="s">
        <v>381</v>
      </c>
      <c r="F32" s="567" t="s">
        <v>382</v>
      </c>
      <c r="G32" s="567"/>
      <c r="H32" s="235" t="s">
        <v>383</v>
      </c>
      <c r="I32" s="236" t="str">
        <f t="shared" ref="I32:AC32" si="1">CHOOSE(WEEKDAY(I31,1),"S","M","T","W","T","F","S")</f>
        <v>M</v>
      </c>
      <c r="J32" s="237" t="str">
        <f t="shared" si="1"/>
        <v>T</v>
      </c>
      <c r="K32" s="237" t="str">
        <f t="shared" si="1"/>
        <v>W</v>
      </c>
      <c r="L32" s="237" t="str">
        <f t="shared" si="1"/>
        <v>T</v>
      </c>
      <c r="M32" s="237" t="str">
        <f t="shared" si="1"/>
        <v>F</v>
      </c>
      <c r="N32" s="237" t="str">
        <f t="shared" si="1"/>
        <v>S</v>
      </c>
      <c r="O32" s="238" t="str">
        <f t="shared" si="1"/>
        <v>S</v>
      </c>
      <c r="P32" s="239" t="str">
        <f t="shared" si="1"/>
        <v>M</v>
      </c>
      <c r="Q32" s="237" t="str">
        <f t="shared" si="1"/>
        <v>T</v>
      </c>
      <c r="R32" s="237" t="str">
        <f t="shared" si="1"/>
        <v>W</v>
      </c>
      <c r="S32" s="237" t="str">
        <f t="shared" si="1"/>
        <v>T</v>
      </c>
      <c r="T32" s="237" t="str">
        <f t="shared" si="1"/>
        <v>F</v>
      </c>
      <c r="U32" s="237" t="str">
        <f t="shared" si="1"/>
        <v>S</v>
      </c>
      <c r="V32" s="238" t="str">
        <f t="shared" si="1"/>
        <v>S</v>
      </c>
      <c r="W32" s="239" t="str">
        <f t="shared" si="1"/>
        <v>M</v>
      </c>
      <c r="X32" s="237" t="str">
        <f t="shared" si="1"/>
        <v>T</v>
      </c>
      <c r="Y32" s="237" t="str">
        <f t="shared" si="1"/>
        <v>W</v>
      </c>
      <c r="Z32" s="237" t="str">
        <f t="shared" si="1"/>
        <v>T</v>
      </c>
      <c r="AA32" s="237" t="str">
        <f t="shared" si="1"/>
        <v>F</v>
      </c>
      <c r="AB32" s="237" t="str">
        <f t="shared" si="1"/>
        <v>S</v>
      </c>
      <c r="AC32" s="238" t="str">
        <f t="shared" si="1"/>
        <v>S</v>
      </c>
      <c r="AF32" s="240" t="s">
        <v>384</v>
      </c>
    </row>
    <row r="33" spans="1:32" s="247" customFormat="1" ht="15" customHeight="1" x14ac:dyDescent="0.25">
      <c r="A33" s="241"/>
      <c r="B33" s="242" t="str">
        <f>IF(B8="","",B8)</f>
        <v>Dungeon Divers I Event</v>
      </c>
      <c r="C33" s="243">
        <f>IF(B33="","",C8)</f>
        <v>44271</v>
      </c>
      <c r="D33" s="243">
        <f>IF(ISBLANK(C33)," - ",IF(D8=0,C33,C33+D8-1))</f>
        <v>44275</v>
      </c>
      <c r="E33" s="244"/>
      <c r="F33" s="518" t="str">
        <f>IF(E33=0,"",IF(E33/MAX(F8,I8,Q8)&gt;1,1,E33/MAX(F8,I8,Q8)))</f>
        <v/>
      </c>
      <c r="G33" s="518"/>
      <c r="H33" s="245" t="str">
        <f>IF(E33=0,"",IF(E33&gt;=MAX(F8,I8,Q8,Y8),E8+H8+N8+V8,IF(E33&gt;=MAX(F8,I8,Q8),E8+H8+N8,IF(E33&gt;=MAX(F8,I8),E8+H8,IF(E33&gt;=F8,E8,"")))))</f>
        <v/>
      </c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F33" s="247" t="s">
        <v>385</v>
      </c>
    </row>
    <row r="34" spans="1:32" s="247" customFormat="1" ht="15" customHeight="1" x14ac:dyDescent="0.25">
      <c r="B34" s="242" t="str">
        <f>IF(B9="","",B9)</f>
        <v>Dragon Tournament</v>
      </c>
      <c r="C34" s="243">
        <f>IF(B34="","",C9)</f>
        <v>44271</v>
      </c>
      <c r="D34" s="243">
        <f>IF(ISBLANK(C34)," - ",IF(D9=0,C34,C34+D9-1))</f>
        <v>44274</v>
      </c>
      <c r="E34" s="244"/>
      <c r="F34" s="518" t="str">
        <f>IF(E34=0,"",IF(E34/MAX(F9,I9,Q9)&gt;1,1,E34/MAX(F9,I9,Q9)))</f>
        <v/>
      </c>
      <c r="G34" s="518"/>
      <c r="H34" s="245" t="str">
        <f>IF(E34=0,"",IF(E34&gt;=MAX(F9,I9,Q9,Y9),E9+H9+N9+V9,IF(E34&gt;=MAX(F9,I9,Q9),E9+H9+N9,IF(E34&gt;=MAX(F9,I9),E9+H9,IF(E34&gt;=F9,E9,"")))))</f>
        <v/>
      </c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F34" s="247" t="s">
        <v>386</v>
      </c>
    </row>
    <row r="35" spans="1:32" s="247" customFormat="1" ht="15" customHeight="1" x14ac:dyDescent="0.25">
      <c r="B35" s="242" t="str">
        <f>IF(B11="","",B11)</f>
        <v>Artifact Enhancement Event I</v>
      </c>
      <c r="C35" s="243">
        <f>IF(B35="","",C11)</f>
        <v>44273</v>
      </c>
      <c r="D35" s="243">
        <f>IF(ISBLANK(C35)," - ",IF(D11=0,C35,C35+D11-1))</f>
        <v>44277</v>
      </c>
      <c r="E35" s="244"/>
      <c r="F35" s="518" t="str">
        <f>IF(E35=0,"",IF(E35/MAX(F11,I11,Q11)&gt;1,1,E35/MAX(F11,I11,Q11)))</f>
        <v/>
      </c>
      <c r="G35" s="518"/>
      <c r="H35" s="245" t="str">
        <f>IF(E35=0,"",IF(E35&gt;=MAX(F11,I11,Q11,Y11),E11+H11+N11+V11,IF(E35&gt;=MAX(F11,I11,Q11),E11+H11+N11,IF(E35&gt;=MAX(F11,I11),E11+H11,IF(E35&gt;=F11,E11,"")))))</f>
        <v/>
      </c>
      <c r="I35" s="246"/>
      <c r="J35" s="246"/>
      <c r="K35" s="248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F35" s="247" t="s">
        <v>387</v>
      </c>
    </row>
    <row r="36" spans="1:32" s="247" customFormat="1" ht="15" customHeight="1" x14ac:dyDescent="0.25">
      <c r="B36" s="242" t="str">
        <f>IF(B10="","",B10)</f>
        <v>Classic Arena Takedown I Tournament</v>
      </c>
      <c r="C36" s="243">
        <f>IF(B36="","",C10)</f>
        <v>44272</v>
      </c>
      <c r="D36" s="243">
        <f>IF(ISBLANK(C36)," - ",IF(D10=0,C36,C36+D10-1))</f>
        <v>44277</v>
      </c>
      <c r="E36" s="244"/>
      <c r="F36" s="518" t="str">
        <f>IF(E36=0,"",IF(E36/MAX(F10,I10,Q10)&gt;1,1,E36/MAX(F10,I10,Q10)))</f>
        <v/>
      </c>
      <c r="G36" s="518"/>
      <c r="H36" s="245" t="str">
        <f>IF(E36=0,"",IF(E36&gt;=MAX(F10,I10,Q10,Y10),E10+H10+N10+V10,IF(E36&gt;=MAX(F10,I10,Q10),E10+H10+N10,IF(E36&gt;=MAX(F10,I10),E10+H10,IF(E36&gt;=F10,E10,"")))))</f>
        <v/>
      </c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F36" s="247" t="s">
        <v>388</v>
      </c>
    </row>
    <row r="37" spans="1:32" s="247" customFormat="1" ht="15" customHeight="1" x14ac:dyDescent="0.25">
      <c r="B37" s="242" t="str">
        <f t="shared" ref="B37:B46" si="2">IF(B12="","",B12)</f>
        <v>Summon Rush Event</v>
      </c>
      <c r="C37" s="243">
        <f t="shared" ref="C37:C46" si="3">IF(B37="","",C12)</f>
        <v>44274</v>
      </c>
      <c r="D37" s="243">
        <f t="shared" ref="D37:D46" si="4">IF(ISBLANK(C37)," - ",IF(D12=0,C37,C37+D12-1))</f>
        <v>44277</v>
      </c>
      <c r="E37" s="244"/>
      <c r="F37" s="518" t="str">
        <f t="shared" ref="F37:F46" si="5">IF(E37=0,"",IF(E37/MAX(F12,I12,Q12)&gt;1,1,E37/MAX(F12,I12,Q12)))</f>
        <v/>
      </c>
      <c r="G37" s="518"/>
      <c r="H37" s="245" t="str">
        <f t="shared" ref="H37:H46" si="6">IF(E37=0,"",IF(E37&gt;=MAX(F12,I12,Q12,Y12),E12+H12+N12+V12,IF(E37&gt;=MAX(F12,I12,Q12),E12+H12+N12,IF(E37&gt;=MAX(F12,I12),E12+H12,IF(E37&gt;=F12,E12,"")))))</f>
        <v/>
      </c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246"/>
      <c r="AB37" s="246"/>
      <c r="AC37" s="246"/>
      <c r="AF37" s="247" t="s">
        <v>389</v>
      </c>
    </row>
    <row r="38" spans="1:32" s="247" customFormat="1" ht="15" customHeight="1" x14ac:dyDescent="0.25">
      <c r="B38" s="242" t="str">
        <f t="shared" si="2"/>
        <v>Champion Training Tournament</v>
      </c>
      <c r="C38" s="243">
        <f t="shared" si="3"/>
        <v>44274</v>
      </c>
      <c r="D38" s="243">
        <f t="shared" si="4"/>
        <v>44278</v>
      </c>
      <c r="E38" s="244"/>
      <c r="F38" s="518" t="str">
        <f t="shared" si="5"/>
        <v/>
      </c>
      <c r="G38" s="518"/>
      <c r="H38" s="245" t="str">
        <f t="shared" si="6"/>
        <v/>
      </c>
      <c r="I38" s="246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F38" s="241" t="s">
        <v>390</v>
      </c>
    </row>
    <row r="39" spans="1:32" s="247" customFormat="1" ht="15" customHeight="1" x14ac:dyDescent="0.25">
      <c r="B39" s="242" t="str">
        <f t="shared" si="2"/>
        <v>Ice Golem Tournament</v>
      </c>
      <c r="C39" s="243">
        <f t="shared" si="3"/>
        <v>44274</v>
      </c>
      <c r="D39" s="243">
        <f t="shared" si="4"/>
        <v>44277</v>
      </c>
      <c r="E39" s="244"/>
      <c r="F39" s="518" t="str">
        <f t="shared" si="5"/>
        <v/>
      </c>
      <c r="G39" s="518"/>
      <c r="H39" s="245" t="str">
        <f t="shared" si="6"/>
        <v/>
      </c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F39" s="249" t="s">
        <v>391</v>
      </c>
    </row>
    <row r="40" spans="1:32" s="241" customFormat="1" ht="15" customHeight="1" x14ac:dyDescent="0.25">
      <c r="B40" s="242" t="str">
        <f t="shared" si="2"/>
        <v>Fire Knight Tournament</v>
      </c>
      <c r="C40" s="243">
        <f t="shared" si="3"/>
        <v>44275</v>
      </c>
      <c r="D40" s="243">
        <f t="shared" si="4"/>
        <v>44278</v>
      </c>
      <c r="E40" s="244"/>
      <c r="F40" s="518" t="str">
        <f t="shared" si="5"/>
        <v/>
      </c>
      <c r="G40" s="518"/>
      <c r="H40" s="245" t="str">
        <f t="shared" si="6"/>
        <v/>
      </c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</row>
    <row r="41" spans="1:32" s="249" customFormat="1" ht="15" customHeight="1" x14ac:dyDescent="0.25">
      <c r="B41" s="242" t="str">
        <f t="shared" si="2"/>
        <v>Dungeon Divers II Event</v>
      </c>
      <c r="C41" s="243">
        <f t="shared" si="3"/>
        <v>44277</v>
      </c>
      <c r="D41" s="243">
        <f t="shared" si="4"/>
        <v>44282</v>
      </c>
      <c r="E41" s="244"/>
      <c r="F41" s="518" t="str">
        <f t="shared" si="5"/>
        <v/>
      </c>
      <c r="G41" s="518"/>
      <c r="H41" s="245" t="str">
        <f t="shared" si="6"/>
        <v/>
      </c>
      <c r="I41" s="251"/>
      <c r="J41" s="251"/>
      <c r="K41" s="251"/>
      <c r="L41" s="251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  <c r="AA41" s="251"/>
      <c r="AB41" s="251"/>
      <c r="AC41" s="251"/>
    </row>
    <row r="42" spans="1:32" s="249" customFormat="1" ht="15" customHeight="1" x14ac:dyDescent="0.25">
      <c r="B42" s="242" t="str">
        <f t="shared" si="2"/>
        <v>Artifact Enhancement Event II</v>
      </c>
      <c r="C42" s="243">
        <f t="shared" si="3"/>
        <v>44280</v>
      </c>
      <c r="D42" s="243">
        <f t="shared" si="4"/>
        <v>44284</v>
      </c>
      <c r="E42" s="244"/>
      <c r="F42" s="518" t="str">
        <f t="shared" si="5"/>
        <v/>
      </c>
      <c r="G42" s="518"/>
      <c r="H42" s="245" t="str">
        <f t="shared" si="6"/>
        <v/>
      </c>
      <c r="I42" s="251"/>
      <c r="J42" s="251"/>
      <c r="K42" s="251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251"/>
      <c r="AC42" s="251"/>
    </row>
    <row r="43" spans="1:32" s="252" customFormat="1" ht="15" customHeight="1" x14ac:dyDescent="0.2">
      <c r="B43" s="242" t="str">
        <f t="shared" si="2"/>
        <v>Champion Chase Tournament</v>
      </c>
      <c r="C43" s="243">
        <f t="shared" si="3"/>
        <v>44281</v>
      </c>
      <c r="D43" s="243">
        <f t="shared" si="4"/>
        <v>44284</v>
      </c>
      <c r="E43" s="244"/>
      <c r="F43" s="518" t="str">
        <f t="shared" si="5"/>
        <v/>
      </c>
      <c r="G43" s="518"/>
      <c r="H43" s="245" t="str">
        <f t="shared" si="6"/>
        <v/>
      </c>
    </row>
    <row r="44" spans="1:32" s="252" customFormat="1" ht="15" customHeight="1" x14ac:dyDescent="0.2">
      <c r="B44" s="242" t="str">
        <f t="shared" si="2"/>
        <v>Classic Arena Takedown II Tournament</v>
      </c>
      <c r="C44" s="243">
        <f t="shared" si="3"/>
        <v>44281</v>
      </c>
      <c r="D44" s="243">
        <f t="shared" si="4"/>
        <v>44284</v>
      </c>
      <c r="E44" s="244"/>
      <c r="F44" s="518" t="str">
        <f t="shared" si="5"/>
        <v/>
      </c>
      <c r="G44" s="518"/>
      <c r="H44" s="245" t="str">
        <f t="shared" si="6"/>
        <v/>
      </c>
    </row>
    <row r="45" spans="1:32" s="252" customFormat="1" ht="15" customHeight="1" x14ac:dyDescent="0.2">
      <c r="B45" s="242" t="str">
        <f t="shared" si="2"/>
        <v>Champion Training Event</v>
      </c>
      <c r="C45" s="243">
        <f t="shared" si="3"/>
        <v>44282</v>
      </c>
      <c r="D45" s="243">
        <f t="shared" si="4"/>
        <v>44286</v>
      </c>
      <c r="E45" s="244"/>
      <c r="F45" s="518" t="str">
        <f t="shared" si="5"/>
        <v/>
      </c>
      <c r="G45" s="518"/>
      <c r="H45" s="245" t="str">
        <f t="shared" si="6"/>
        <v/>
      </c>
    </row>
    <row r="46" spans="1:32" s="252" customFormat="1" ht="15" customHeight="1" x14ac:dyDescent="0.2">
      <c r="B46" s="242" t="str">
        <f t="shared" si="2"/>
        <v>Spider Tournament</v>
      </c>
      <c r="C46" s="243">
        <f t="shared" si="3"/>
        <v>44282</v>
      </c>
      <c r="D46" s="243">
        <f t="shared" si="4"/>
        <v>44285</v>
      </c>
      <c r="E46" s="244"/>
      <c r="F46" s="518" t="str">
        <f t="shared" si="5"/>
        <v/>
      </c>
      <c r="G46" s="518"/>
      <c r="H46" s="245" t="str">
        <f t="shared" si="6"/>
        <v/>
      </c>
    </row>
    <row r="47" spans="1:32" s="252" customFormat="1" ht="15" customHeight="1" x14ac:dyDescent="0.2">
      <c r="B47" s="242" t="str">
        <f t="shared" ref="B47:B55" si="7">IF(B22="","",B22)</f>
        <v/>
      </c>
      <c r="C47" s="243" t="str">
        <f t="shared" ref="C47:C55" si="8">IF(B47="","",C22)</f>
        <v/>
      </c>
      <c r="D47" s="243" t="str">
        <f t="shared" ref="D47:D55" si="9">IF(ISBLANK(C47)," - ",IF(D22=0,C47,C47+D22-1))</f>
        <v/>
      </c>
      <c r="E47" s="244"/>
      <c r="F47" s="518" t="str">
        <f t="shared" ref="F47" si="10">IF(E47=0,"",IF(E47/MAX(F29,I29,Q29)&gt;1,1,E47/MAX(F29,I29,Q29)))</f>
        <v/>
      </c>
      <c r="G47" s="518"/>
      <c r="H47" s="245" t="str">
        <f t="shared" ref="H47" si="11">IF(E47=0,"",IF(E47&gt;=MAX(F29,I29,Q29,Y29),E29+H29+N29+V29,IF(E47&gt;=MAX(F29,I29,Q29),E29+H29+N29,IF(E47&gt;=MAX(F29,I29),E29+H29,IF(E47&gt;=F29,E29,"")))))</f>
        <v/>
      </c>
    </row>
    <row r="48" spans="1:32" s="252" customFormat="1" ht="15" customHeight="1" x14ac:dyDescent="0.2">
      <c r="B48" s="242" t="str">
        <f t="shared" si="7"/>
        <v/>
      </c>
      <c r="C48" s="243" t="str">
        <f t="shared" si="8"/>
        <v/>
      </c>
      <c r="D48" s="243" t="str">
        <f t="shared" si="9"/>
        <v/>
      </c>
      <c r="E48" s="244"/>
      <c r="F48" s="518" t="str">
        <f t="shared" ref="F48:F55" si="12">IF(E48=0,"",IF(E48/MAX(F30,I30,Q30)&gt;1,1,E48/MAX(F30,I30,Q30)))</f>
        <v/>
      </c>
      <c r="G48" s="518"/>
      <c r="H48" s="245" t="str">
        <f t="shared" ref="H48:H55" si="13">IF(E48=0,"",IF(E48&gt;=MAX(F30,I30,Q30,Y30),E30+H30+N30+V30,IF(E48&gt;=MAX(F30,I30,Q30),E30+H30+N30,IF(E48&gt;=MAX(F30,I30),E30+H30,IF(E48&gt;=F30,E30,"")))))</f>
        <v/>
      </c>
    </row>
    <row r="49" spans="2:8" s="252" customFormat="1" ht="15" customHeight="1" x14ac:dyDescent="0.2">
      <c r="B49" s="242" t="str">
        <f t="shared" si="7"/>
        <v/>
      </c>
      <c r="C49" s="243" t="str">
        <f t="shared" si="8"/>
        <v/>
      </c>
      <c r="D49" s="243" t="str">
        <f t="shared" si="9"/>
        <v/>
      </c>
      <c r="E49" s="244"/>
      <c r="F49" s="518" t="str">
        <f t="shared" si="12"/>
        <v/>
      </c>
      <c r="G49" s="518"/>
      <c r="H49" s="245" t="str">
        <f t="shared" si="13"/>
        <v/>
      </c>
    </row>
    <row r="50" spans="2:8" s="252" customFormat="1" ht="15" customHeight="1" x14ac:dyDescent="0.2">
      <c r="B50" s="242" t="str">
        <f t="shared" si="7"/>
        <v/>
      </c>
      <c r="C50" s="243" t="str">
        <f t="shared" si="8"/>
        <v/>
      </c>
      <c r="D50" s="243" t="str">
        <f t="shared" si="9"/>
        <v/>
      </c>
      <c r="E50" s="244"/>
      <c r="F50" s="518" t="str">
        <f t="shared" si="12"/>
        <v/>
      </c>
      <c r="G50" s="518"/>
      <c r="H50" s="245" t="str">
        <f t="shared" si="13"/>
        <v/>
      </c>
    </row>
    <row r="51" spans="2:8" s="252" customFormat="1" ht="15" customHeight="1" x14ac:dyDescent="0.2">
      <c r="B51" s="242" t="str">
        <f t="shared" si="7"/>
        <v/>
      </c>
      <c r="C51" s="243" t="str">
        <f t="shared" si="8"/>
        <v/>
      </c>
      <c r="D51" s="243" t="str">
        <f t="shared" si="9"/>
        <v/>
      </c>
      <c r="E51" s="244"/>
      <c r="F51" s="518" t="str">
        <f t="shared" si="12"/>
        <v/>
      </c>
      <c r="G51" s="518"/>
      <c r="H51" s="245" t="str">
        <f t="shared" si="13"/>
        <v/>
      </c>
    </row>
    <row r="52" spans="2:8" s="252" customFormat="1" ht="15" customHeight="1" x14ac:dyDescent="0.2">
      <c r="B52" s="242" t="str">
        <f t="shared" si="7"/>
        <v/>
      </c>
      <c r="C52" s="243" t="str">
        <f t="shared" si="8"/>
        <v/>
      </c>
      <c r="D52" s="243" t="str">
        <f t="shared" si="9"/>
        <v/>
      </c>
      <c r="E52" s="244"/>
      <c r="F52" s="518" t="str">
        <f t="shared" si="12"/>
        <v/>
      </c>
      <c r="G52" s="518"/>
      <c r="H52" s="245" t="str">
        <f t="shared" si="13"/>
        <v/>
      </c>
    </row>
    <row r="53" spans="2:8" s="252" customFormat="1" ht="15" customHeight="1" x14ac:dyDescent="0.2">
      <c r="B53" s="242" t="str">
        <f t="shared" si="7"/>
        <v/>
      </c>
      <c r="C53" s="243" t="str">
        <f t="shared" si="8"/>
        <v/>
      </c>
      <c r="D53" s="243" t="str">
        <f t="shared" si="9"/>
        <v/>
      </c>
      <c r="E53" s="244"/>
      <c r="F53" s="518" t="str">
        <f t="shared" si="12"/>
        <v/>
      </c>
      <c r="G53" s="518"/>
      <c r="H53" s="245" t="str">
        <f t="shared" si="13"/>
        <v/>
      </c>
    </row>
    <row r="54" spans="2:8" s="252" customFormat="1" ht="15" customHeight="1" x14ac:dyDescent="0.2">
      <c r="B54" s="242" t="str">
        <f t="shared" si="7"/>
        <v/>
      </c>
      <c r="C54" s="243" t="str">
        <f t="shared" si="8"/>
        <v/>
      </c>
      <c r="D54" s="243" t="str">
        <f t="shared" si="9"/>
        <v/>
      </c>
      <c r="E54" s="244"/>
      <c r="F54" s="518" t="str">
        <f t="shared" si="12"/>
        <v/>
      </c>
      <c r="G54" s="518"/>
      <c r="H54" s="245" t="str">
        <f t="shared" si="13"/>
        <v/>
      </c>
    </row>
    <row r="55" spans="2:8" s="252" customFormat="1" ht="15" customHeight="1" x14ac:dyDescent="0.2">
      <c r="B55" s="242" t="str">
        <f t="shared" si="7"/>
        <v/>
      </c>
      <c r="C55" s="243" t="str">
        <f t="shared" si="8"/>
        <v/>
      </c>
      <c r="D55" s="243" t="str">
        <f t="shared" si="9"/>
        <v/>
      </c>
      <c r="E55" s="244"/>
      <c r="F55" s="518" t="str">
        <f t="shared" si="12"/>
        <v/>
      </c>
      <c r="G55" s="518"/>
      <c r="H55" s="245" t="str">
        <f t="shared" si="13"/>
        <v/>
      </c>
    </row>
    <row r="56" spans="2:8" s="252" customFormat="1" ht="12" x14ac:dyDescent="0.2">
      <c r="B56" s="253"/>
    </row>
    <row r="57" spans="2:8" s="252" customFormat="1" ht="12" x14ac:dyDescent="0.2">
      <c r="B57" s="253"/>
    </row>
    <row r="58" spans="2:8" s="252" customFormat="1" ht="12" x14ac:dyDescent="0.2">
      <c r="B58" s="253"/>
    </row>
    <row r="59" spans="2:8" s="252" customFormat="1" ht="12" x14ac:dyDescent="0.2"/>
    <row r="60" spans="2:8" s="252" customFormat="1" ht="12" x14ac:dyDescent="0.2"/>
    <row r="61" spans="2:8" s="252" customFormat="1" ht="12" x14ac:dyDescent="0.2"/>
    <row r="62" spans="2:8" s="252" customFormat="1" ht="12" x14ac:dyDescent="0.2"/>
    <row r="63" spans="2:8" s="252" customFormat="1" ht="12" x14ac:dyDescent="0.2"/>
  </sheetData>
  <sheetProtection formatCells="0" formatColumns="0" formatRows="0" insertRows="0" deleteRows="0"/>
  <mergeCells count="221"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  <mergeCell ref="I25:K25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N23:P23"/>
    <mergeCell ref="N24:P24"/>
    <mergeCell ref="N25:P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T23:U23"/>
    <mergeCell ref="T24:U24"/>
    <mergeCell ref="T25:U25"/>
    <mergeCell ref="T26:U26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F53:G53"/>
    <mergeCell ref="F54:G54"/>
    <mergeCell ref="F55:G55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</mergeCells>
  <conditionalFormatting sqref="H5 H30 H7:I7 L7 N7 F33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06" priority="33">
      <formula>I$31=TODAY()</formula>
    </cfRule>
  </conditionalFormatting>
  <conditionalFormatting sqref="I31:AC55">
    <cfRule type="expression" dxfId="105" priority="32">
      <formula>I$31=TODAY()</formula>
    </cfRule>
  </conditionalFormatting>
  <conditionalFormatting sqref="I33:AC55">
    <cfRule type="expression" dxfId="104" priority="34">
      <formula>AND($C33&lt;=I$31,ROUNDDOWN(($D33-$C33+1)*$F33,0)+$C33-1&gt;=I$31)</formula>
    </cfRule>
    <cfRule type="expression" dxfId="103" priority="35">
      <formula>AND(NOT(ISBLANK($C33)),$C33&lt;=I$31,$D33&gt;=I$31)</formula>
    </cfRule>
  </conditionalFormatting>
  <conditionalFormatting sqref="I42:AC55">
    <cfRule type="expression" dxfId="102" priority="36">
      <formula>AND(#REF!&lt;=I$31,ROUNDDOWN(($D42-#REF!+1)*#REF!,0)+#REF!-1&gt;=I$31)</formula>
    </cfRule>
    <cfRule type="expression" dxfId="101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5">
    <cfRule type="expression" dxfId="100" priority="38">
      <formula>AND($C41&lt;=I$31,ROUNDDOWN(($D41-$C41+1)*$AE41,0)+$C41-1&gt;=I$31)</formula>
    </cfRule>
    <cfRule type="expression" dxfId="99" priority="39">
      <formula>AND(NOT(ISBLANK($C41)),$C41&lt;=I$31,$D41&gt;=I$31)</formula>
    </cfRule>
  </conditionalFormatting>
  <conditionalFormatting sqref="G8 L8:M8 T8:U8 AB8:AC8">
    <cfRule type="containsText" dxfId="98" priority="25" operator="containsText" text="No">
      <formula>NOT(ISERROR(SEARCH("No",G8)))</formula>
    </cfRule>
    <cfRule type="containsText" dxfId="97" priority="26" operator="containsText" text="Yes">
      <formula>NOT(ISERROR(SEARCH("Yes",G8)))</formula>
    </cfRule>
    <cfRule type="containsText" dxfId="96" priority="27" operator="containsText" text="???">
      <formula>NOT(ISERROR(SEARCH("???",G8)))</formula>
    </cfRule>
  </conditionalFormatting>
  <conditionalFormatting sqref="AD8:AD29">
    <cfRule type="expression" dxfId="95" priority="24">
      <formula>FIND("Tournament",$B8) &gt;0</formula>
    </cfRule>
  </conditionalFormatting>
  <conditionalFormatting sqref="B8:AC8">
    <cfRule type="expression" dxfId="94" priority="22">
      <formula>$C8+$D8 - 1&lt;TODAY()</formula>
    </cfRule>
    <cfRule type="expression" dxfId="93" priority="23">
      <formula>$C8&gt;TODAY()</formula>
    </cfRule>
  </conditionalFormatting>
  <conditionalFormatting sqref="D4">
    <cfRule type="containsText" dxfId="92" priority="13" operator="containsText" text="Void">
      <formula>NOT(ISERROR(SEARCH("Void",D4)))</formula>
    </cfRule>
    <cfRule type="containsText" dxfId="91" priority="14" operator="containsText" text="Spirit">
      <formula>NOT(ISERROR(SEARCH("Spirit",D4)))</formula>
    </cfRule>
    <cfRule type="containsText" dxfId="90" priority="15" operator="containsText" text="Force">
      <formula>NOT(ISERROR(SEARCH("Force",D4)))</formula>
    </cfRule>
    <cfRule type="containsText" dxfId="89" priority="16" operator="containsText" text="Magic">
      <formula>NOT(ISERROR(SEARCH("Magic",D4)))</formula>
    </cfRule>
  </conditionalFormatting>
  <conditionalFormatting sqref="C4">
    <cfRule type="containsText" dxfId="88" priority="17" operator="containsText" text="Legend">
      <formula>NOT(ISERROR(SEARCH("Legend",C4)))</formula>
    </cfRule>
    <cfRule type="containsText" dxfId="87" priority="18" operator="containsText" text="Legendary">
      <formula>NOT(ISERROR(SEARCH("Legendary",C4)))</formula>
    </cfRule>
    <cfRule type="containsText" dxfId="86" priority="19" operator="containsText" text="Epic">
      <formula>NOT(ISERROR(SEARCH("Epic",C4)))</formula>
    </cfRule>
    <cfRule type="containsText" dxfId="85" priority="20" operator="containsText" text="Rare">
      <formula>NOT(ISERROR(SEARCH("Rare",C4)))</formula>
    </cfRule>
    <cfRule type="containsText" dxfId="84" priority="21" operator="containsText" text="Common">
      <formula>NOT(ISERROR(SEARCH("Common",C4)))</formula>
    </cfRule>
  </conditionalFormatting>
  <conditionalFormatting sqref="G9:G29 L9:M21 T9:U21 AB9:AC21 L29:M29 L22:L28 T29:U29 T22:T28 AB29:AC29 AB22:AB28">
    <cfRule type="containsText" dxfId="83" priority="10" operator="containsText" text="No">
      <formula>NOT(ISERROR(SEARCH("No",G9)))</formula>
    </cfRule>
    <cfRule type="containsText" dxfId="82" priority="11" operator="containsText" text="Yes">
      <formula>NOT(ISERROR(SEARCH("Yes",G9)))</formula>
    </cfRule>
    <cfRule type="containsText" dxfId="81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80" priority="8">
      <formula>$C9+$D9 - 1&lt;TODAY()</formula>
    </cfRule>
    <cfRule type="expression" dxfId="79" priority="9">
      <formula>$C9&gt;TODAY()</formula>
    </cfRule>
  </conditionalFormatting>
  <conditionalFormatting sqref="D9:D29">
    <cfRule type="expression" dxfId="78" priority="6">
      <formula>$C9+$D9 - 1&lt;TODAY()</formula>
    </cfRule>
    <cfRule type="expression" dxfId="77" priority="7">
      <formula>$C9&gt;TODAY()</formula>
    </cfRule>
  </conditionalFormatting>
  <conditionalFormatting sqref="B33:G46 B47:E55">
    <cfRule type="expression" dxfId="76" priority="4">
      <formula>$C8&gt;TODAY()</formula>
    </cfRule>
    <cfRule type="expression" dxfId="75" priority="5">
      <formula>$C8+$D8 - 1&lt;TODAY()</formula>
    </cfRule>
  </conditionalFormatting>
  <conditionalFormatting sqref="F34:F55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{A1C2991C-C253-4260-913D-01FE6EAB27F4}</x14:id>
        </ext>
      </extLst>
    </cfRule>
  </conditionalFormatting>
  <conditionalFormatting sqref="F47:G55">
    <cfRule type="expression" dxfId="74" priority="1">
      <formula>$C29&gt;TODAY()</formula>
    </cfRule>
    <cfRule type="expression" dxfId="73" priority="2">
      <formula>$C29+$D29 - 1&lt;TODAY()</formula>
    </cfRule>
  </conditionalFormatting>
  <dataValidations disablePrompts="1"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H5 H30 H7:I7 L7 N7 F33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1C2991C-C253-4260-913D-01FE6EAB27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F34:F55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topLeftCell="A3" zoomScaleNormal="100" workbookViewId="0">
      <selection activeCell="Q6" sqref="Q6:T9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0" hidden="1" customWidth="1"/>
  </cols>
  <sheetData>
    <row r="1" spans="1:54" ht="31.5" customHeight="1" thickBot="1" x14ac:dyDescent="0.3">
      <c r="B1" s="662" t="s">
        <v>332</v>
      </c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72"/>
      <c r="AC1" s="2" t="s">
        <v>269</v>
      </c>
      <c r="AF1" s="2" t="s">
        <v>270</v>
      </c>
    </row>
    <row r="2" spans="1:54" ht="15.75" thickBot="1" x14ac:dyDescent="0.3">
      <c r="V2" s="73"/>
      <c r="W2" s="74" t="s">
        <v>271</v>
      </c>
      <c r="X2" s="75" t="s">
        <v>272</v>
      </c>
      <c r="Y2" s="75" t="s">
        <v>273</v>
      </c>
      <c r="Z2" s="76" t="s">
        <v>273</v>
      </c>
      <c r="AA2" s="74" t="s">
        <v>274</v>
      </c>
      <c r="AB2" s="75" t="s">
        <v>275</v>
      </c>
      <c r="AC2" s="76" t="s">
        <v>276</v>
      </c>
      <c r="AD2" s="74" t="s">
        <v>277</v>
      </c>
      <c r="AE2" s="75" t="s">
        <v>278</v>
      </c>
      <c r="AF2" s="76" t="s">
        <v>279</v>
      </c>
    </row>
    <row r="3" spans="1:54" s="77" customFormat="1" ht="21.75" customHeight="1" thickBot="1" x14ac:dyDescent="0.3">
      <c r="D3" s="663"/>
      <c r="E3" s="664"/>
      <c r="F3" s="664"/>
      <c r="G3" s="664"/>
      <c r="H3" s="664"/>
      <c r="I3" s="664"/>
      <c r="J3" s="664"/>
      <c r="K3" s="664"/>
      <c r="L3" s="664"/>
      <c r="M3" s="664"/>
      <c r="N3" s="664"/>
      <c r="O3" s="664"/>
      <c r="P3" s="664"/>
      <c r="Q3" s="667" t="s">
        <v>264</v>
      </c>
      <c r="R3" s="668"/>
      <c r="V3" s="78" t="s">
        <v>280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665"/>
      <c r="E4" s="666"/>
      <c r="F4" s="666"/>
      <c r="G4" s="666"/>
      <c r="H4" s="666"/>
      <c r="I4" s="666"/>
      <c r="J4" s="666"/>
      <c r="K4" s="666"/>
      <c r="L4" s="666"/>
      <c r="M4" s="666"/>
      <c r="N4" s="666"/>
      <c r="O4" s="666"/>
      <c r="P4" s="666"/>
      <c r="Q4" s="669"/>
      <c r="R4" s="670"/>
      <c r="V4" s="85" t="s">
        <v>281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671">
        <f>IF(D8="50/50",IF(D9="✦✦✦✦✦",1,0),0)</f>
        <v>0</v>
      </c>
      <c r="C5" s="671"/>
      <c r="D5" s="671"/>
      <c r="E5" s="671"/>
      <c r="G5" s="671">
        <f>IF(I8="50/50",IF(I9="✦✦✦✦✦",1,0),0)</f>
        <v>0</v>
      </c>
      <c r="H5" s="671"/>
      <c r="I5" s="671"/>
      <c r="J5" s="671"/>
      <c r="L5" s="671">
        <f>IF(N8="50/50",IF(N9="✦✦✦✦✦",1,0),0)</f>
        <v>0</v>
      </c>
      <c r="M5" s="671"/>
      <c r="N5" s="671"/>
      <c r="O5" s="671"/>
      <c r="Q5" s="671">
        <f>IF(S8="50/50",IF(S9="✦✦✦✦✦",1,0),0)</f>
        <v>0</v>
      </c>
      <c r="R5" s="671"/>
      <c r="S5" s="671"/>
      <c r="T5" s="671"/>
    </row>
    <row r="6" spans="1:54" s="77" customFormat="1" ht="32.25" thickBot="1" x14ac:dyDescent="0.3">
      <c r="B6" s="656"/>
      <c r="C6" s="657"/>
      <c r="D6" s="657"/>
      <c r="E6" s="658"/>
      <c r="F6" s="90"/>
      <c r="G6" s="656" t="s">
        <v>470</v>
      </c>
      <c r="H6" s="657"/>
      <c r="I6" s="657"/>
      <c r="J6" s="658"/>
      <c r="K6" s="90"/>
      <c r="L6" s="656" t="s">
        <v>470</v>
      </c>
      <c r="M6" s="657"/>
      <c r="N6" s="657"/>
      <c r="O6" s="658"/>
      <c r="P6" s="90"/>
      <c r="Q6" s="656" t="s">
        <v>470</v>
      </c>
      <c r="R6" s="657"/>
      <c r="S6" s="657"/>
      <c r="T6" s="658"/>
      <c r="W6" s="659">
        <f>CF_Epic_Champion1</f>
        <v>0</v>
      </c>
      <c r="X6" s="660"/>
      <c r="Y6" s="660"/>
      <c r="Z6" s="661"/>
      <c r="AA6" s="617" t="str">
        <f>CF_Epic_Champion2</f>
        <v>ffff</v>
      </c>
      <c r="AB6" s="618"/>
      <c r="AC6" s="618"/>
      <c r="AD6" s="655"/>
      <c r="AE6" s="617" t="str">
        <f>CF_Epic_Champion3</f>
        <v>ffff</v>
      </c>
      <c r="AF6" s="618"/>
      <c r="AG6" s="618"/>
      <c r="AH6" s="655"/>
      <c r="AI6" s="617" t="str">
        <f>CF_Epic_Champion4</f>
        <v>ffff</v>
      </c>
      <c r="AJ6" s="618"/>
      <c r="AK6" s="618"/>
      <c r="AL6" s="655"/>
    </row>
    <row r="7" spans="1:54" s="77" customFormat="1" ht="16.5" thickTop="1" thickBot="1" x14ac:dyDescent="0.3">
      <c r="B7" s="494" t="s">
        <v>38</v>
      </c>
      <c r="C7" s="495"/>
      <c r="D7" s="496"/>
      <c r="E7" s="497"/>
      <c r="G7" s="494" t="s">
        <v>38</v>
      </c>
      <c r="H7" s="495"/>
      <c r="I7" s="496"/>
      <c r="J7" s="497"/>
      <c r="L7" s="494" t="s">
        <v>38</v>
      </c>
      <c r="M7" s="495"/>
      <c r="N7" s="496"/>
      <c r="O7" s="497"/>
      <c r="Q7" s="494" t="s">
        <v>38</v>
      </c>
      <c r="R7" s="495"/>
      <c r="S7" s="496" t="s">
        <v>471</v>
      </c>
      <c r="T7" s="497"/>
      <c r="V7" s="73"/>
      <c r="W7" s="91" t="s">
        <v>271</v>
      </c>
      <c r="X7" s="92" t="s">
        <v>272</v>
      </c>
      <c r="Y7" s="92" t="s">
        <v>282</v>
      </c>
      <c r="Z7" s="93" t="s">
        <v>273</v>
      </c>
      <c r="AA7" s="91" t="s">
        <v>271</v>
      </c>
      <c r="AB7" s="92" t="s">
        <v>272</v>
      </c>
      <c r="AC7" s="92" t="s">
        <v>282</v>
      </c>
      <c r="AD7" s="93" t="s">
        <v>273</v>
      </c>
      <c r="AE7" s="91" t="s">
        <v>271</v>
      </c>
      <c r="AF7" s="92" t="s">
        <v>272</v>
      </c>
      <c r="AG7" s="92" t="s">
        <v>282</v>
      </c>
      <c r="AH7" s="93" t="s">
        <v>273</v>
      </c>
      <c r="AI7" s="91" t="s">
        <v>271</v>
      </c>
      <c r="AJ7" s="92" t="s">
        <v>272</v>
      </c>
      <c r="AK7" s="92" t="s">
        <v>282</v>
      </c>
      <c r="AL7" s="93" t="s">
        <v>273</v>
      </c>
    </row>
    <row r="8" spans="1:54" s="77" customFormat="1" x14ac:dyDescent="0.25">
      <c r="B8" s="467" t="s">
        <v>280</v>
      </c>
      <c r="C8" s="468"/>
      <c r="D8" s="469"/>
      <c r="E8" s="470"/>
      <c r="G8" s="467" t="s">
        <v>280</v>
      </c>
      <c r="H8" s="468"/>
      <c r="I8" s="469"/>
      <c r="J8" s="470"/>
      <c r="L8" s="467" t="s">
        <v>280</v>
      </c>
      <c r="M8" s="468"/>
      <c r="N8" s="469"/>
      <c r="O8" s="470"/>
      <c r="Q8" s="467" t="s">
        <v>280</v>
      </c>
      <c r="R8" s="468"/>
      <c r="S8" s="469" t="s">
        <v>42</v>
      </c>
      <c r="T8" s="470"/>
      <c r="V8" s="94" t="s">
        <v>280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50</v>
      </c>
      <c r="AJ8" s="96">
        <f>IF(S8="",0,VALUE(RIGHT(S8,2)))</f>
        <v>50</v>
      </c>
      <c r="AK8" s="96">
        <f>IF(AJ8=50,0,IF(AJ8=0,40,40-AI8))</f>
        <v>0</v>
      </c>
      <c r="AL8" s="97">
        <f>IF(AJ8=0,50,IF(AJ8=40,50,AJ8-AI8))</f>
        <v>0</v>
      </c>
    </row>
    <row r="9" spans="1:54" s="77" customFormat="1" ht="21.75" thickBot="1" x14ac:dyDescent="0.3">
      <c r="B9" s="477" t="s">
        <v>281</v>
      </c>
      <c r="C9" s="478"/>
      <c r="D9" s="479" t="s">
        <v>137</v>
      </c>
      <c r="E9" s="480"/>
      <c r="G9" s="477" t="s">
        <v>281</v>
      </c>
      <c r="H9" s="478"/>
      <c r="I9" s="479" t="s">
        <v>137</v>
      </c>
      <c r="J9" s="480"/>
      <c r="L9" s="477" t="s">
        <v>281</v>
      </c>
      <c r="M9" s="478"/>
      <c r="N9" s="479" t="s">
        <v>137</v>
      </c>
      <c r="O9" s="480"/>
      <c r="Q9" s="477" t="s">
        <v>281</v>
      </c>
      <c r="R9" s="478"/>
      <c r="S9" s="479" t="s">
        <v>137</v>
      </c>
      <c r="T9" s="480"/>
      <c r="V9" s="98" t="s">
        <v>281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 t="str">
        <f>S7</f>
        <v>force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652"/>
      <c r="C11" s="653"/>
      <c r="D11" s="652"/>
      <c r="E11" s="653"/>
      <c r="F11" s="77"/>
      <c r="G11" s="652"/>
      <c r="H11" s="653"/>
      <c r="I11" s="652"/>
      <c r="J11" s="653"/>
      <c r="K11" s="77"/>
      <c r="L11" s="652"/>
      <c r="M11" s="653"/>
      <c r="N11" s="652"/>
      <c r="O11" s="653"/>
      <c r="P11" s="77"/>
      <c r="Q11" s="650"/>
      <c r="R11" s="651"/>
      <c r="S11" s="650"/>
      <c r="T11" s="651"/>
      <c r="V11" s="73"/>
      <c r="W11" s="610">
        <f>CF_Rare_Champion1</f>
        <v>0</v>
      </c>
      <c r="X11" s="611"/>
      <c r="Y11" s="611"/>
      <c r="Z11" s="612"/>
      <c r="AA11" s="610">
        <f>CF_Rare_Champion2</f>
        <v>0</v>
      </c>
      <c r="AB11" s="611"/>
      <c r="AC11" s="611"/>
      <c r="AD11" s="612"/>
      <c r="AE11" s="610">
        <f>CF_Rare_Champion5</f>
        <v>0</v>
      </c>
      <c r="AF11" s="611"/>
      <c r="AG11" s="611"/>
      <c r="AH11" s="612"/>
      <c r="AI11" s="610">
        <f>CF_Rare_Champion6</f>
        <v>0</v>
      </c>
      <c r="AJ11" s="611"/>
      <c r="AK11" s="611"/>
      <c r="AL11" s="612"/>
      <c r="AM11" s="610">
        <f>CF_Rare_Champion9</f>
        <v>0</v>
      </c>
      <c r="AN11" s="611"/>
      <c r="AO11" s="611"/>
      <c r="AP11" s="612"/>
      <c r="AQ11" s="610">
        <f>CF_Rare_Champion10</f>
        <v>0</v>
      </c>
      <c r="AR11" s="611"/>
      <c r="AS11" s="611"/>
      <c r="AT11" s="612"/>
      <c r="AU11" s="610">
        <f>CF_Rare_Champion13</f>
        <v>0</v>
      </c>
      <c r="AV11" s="611"/>
      <c r="AW11" s="611"/>
      <c r="AX11" s="612"/>
      <c r="AY11" s="610">
        <f>CF_Rare_Champion14</f>
        <v>0</v>
      </c>
      <c r="AZ11" s="611"/>
      <c r="BA11" s="611"/>
      <c r="BB11" s="612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271</v>
      </c>
      <c r="X12" s="92" t="s">
        <v>272</v>
      </c>
      <c r="Y12" s="92" t="s">
        <v>283</v>
      </c>
      <c r="Z12" s="93" t="s">
        <v>282</v>
      </c>
      <c r="AA12" s="91" t="s">
        <v>271</v>
      </c>
      <c r="AB12" s="92" t="s">
        <v>272</v>
      </c>
      <c r="AC12" s="92" t="s">
        <v>283</v>
      </c>
      <c r="AD12" s="93" t="s">
        <v>282</v>
      </c>
      <c r="AE12" s="91" t="s">
        <v>271</v>
      </c>
      <c r="AF12" s="92" t="s">
        <v>272</v>
      </c>
      <c r="AG12" s="92" t="s">
        <v>283</v>
      </c>
      <c r="AH12" s="93" t="s">
        <v>282</v>
      </c>
      <c r="AI12" s="91" t="s">
        <v>271</v>
      </c>
      <c r="AJ12" s="92" t="s">
        <v>272</v>
      </c>
      <c r="AK12" s="92" t="s">
        <v>283</v>
      </c>
      <c r="AL12" s="93" t="s">
        <v>282</v>
      </c>
      <c r="AM12" s="91" t="s">
        <v>271</v>
      </c>
      <c r="AN12" s="92" t="s">
        <v>272</v>
      </c>
      <c r="AO12" s="92" t="s">
        <v>283</v>
      </c>
      <c r="AP12" s="93" t="s">
        <v>282</v>
      </c>
      <c r="AQ12" s="91" t="s">
        <v>271</v>
      </c>
      <c r="AR12" s="92" t="s">
        <v>272</v>
      </c>
      <c r="AS12" s="92" t="s">
        <v>283</v>
      </c>
      <c r="AT12" s="93" t="s">
        <v>282</v>
      </c>
      <c r="AU12" s="91" t="s">
        <v>271</v>
      </c>
      <c r="AV12" s="92" t="s">
        <v>272</v>
      </c>
      <c r="AW12" s="92" t="s">
        <v>283</v>
      </c>
      <c r="AX12" s="93" t="s">
        <v>282</v>
      </c>
      <c r="AY12" s="91" t="s">
        <v>271</v>
      </c>
      <c r="AZ12" s="92" t="s">
        <v>272</v>
      </c>
      <c r="BA12" s="92" t="s">
        <v>283</v>
      </c>
      <c r="BB12" s="93" t="s">
        <v>282</v>
      </c>
    </row>
    <row r="13" spans="1:54" s="102" customFormat="1" ht="15.75" customHeight="1" x14ac:dyDescent="0.25">
      <c r="B13" s="108" t="s">
        <v>280</v>
      </c>
      <c r="C13" s="109"/>
      <c r="D13" s="108" t="s">
        <v>280</v>
      </c>
      <c r="E13" s="109"/>
      <c r="G13" s="108" t="s">
        <v>280</v>
      </c>
      <c r="H13" s="109"/>
      <c r="I13" s="108" t="s">
        <v>280</v>
      </c>
      <c r="J13" s="109"/>
      <c r="L13" s="108" t="s">
        <v>280</v>
      </c>
      <c r="M13" s="109"/>
      <c r="N13" s="108" t="s">
        <v>280</v>
      </c>
      <c r="O13" s="109"/>
      <c r="Q13" s="108" t="s">
        <v>280</v>
      </c>
      <c r="R13" s="109"/>
      <c r="S13" s="108" t="s">
        <v>280</v>
      </c>
      <c r="T13" s="109"/>
      <c r="V13" s="110" t="s">
        <v>280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281</v>
      </c>
      <c r="C14" s="112" t="s">
        <v>133</v>
      </c>
      <c r="D14" s="111" t="s">
        <v>281</v>
      </c>
      <c r="E14" s="112" t="s">
        <v>133</v>
      </c>
      <c r="G14" s="111" t="s">
        <v>281</v>
      </c>
      <c r="H14" s="112" t="s">
        <v>133</v>
      </c>
      <c r="I14" s="111" t="s">
        <v>281</v>
      </c>
      <c r="J14" s="112" t="s">
        <v>133</v>
      </c>
      <c r="L14" s="111" t="s">
        <v>281</v>
      </c>
      <c r="M14" s="112" t="s">
        <v>133</v>
      </c>
      <c r="N14" s="111" t="s">
        <v>281</v>
      </c>
      <c r="O14" s="112" t="s">
        <v>133</v>
      </c>
      <c r="Q14" s="111" t="s">
        <v>281</v>
      </c>
      <c r="R14" s="112" t="s">
        <v>133</v>
      </c>
      <c r="S14" s="111" t="s">
        <v>281</v>
      </c>
      <c r="T14" s="112" t="s">
        <v>133</v>
      </c>
      <c r="V14" s="113" t="s">
        <v>281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652"/>
      <c r="C15" s="653"/>
      <c r="D15" s="652"/>
      <c r="E15" s="653"/>
      <c r="G15" s="652"/>
      <c r="H15" s="653"/>
      <c r="I15" s="652"/>
      <c r="J15" s="653"/>
      <c r="L15" s="652"/>
      <c r="M15" s="653"/>
      <c r="N15" s="652"/>
      <c r="O15" s="653"/>
      <c r="Q15" s="650"/>
      <c r="R15" s="651"/>
      <c r="S15" s="650"/>
      <c r="T15" s="651"/>
      <c r="V15" s="73"/>
      <c r="W15" s="610">
        <f>CF_Rare_Champion3</f>
        <v>0</v>
      </c>
      <c r="X15" s="611"/>
      <c r="Y15" s="611"/>
      <c r="Z15" s="612"/>
      <c r="AA15" s="610">
        <f>CF_Rare_Champion4</f>
        <v>0</v>
      </c>
      <c r="AB15" s="611"/>
      <c r="AC15" s="611"/>
      <c r="AD15" s="612"/>
      <c r="AE15" s="610">
        <f>CF_Rare_Champion7</f>
        <v>0</v>
      </c>
      <c r="AF15" s="611"/>
      <c r="AG15" s="611"/>
      <c r="AH15" s="612"/>
      <c r="AI15" s="610">
        <f>CF_Rare_Champion8</f>
        <v>0</v>
      </c>
      <c r="AJ15" s="611"/>
      <c r="AK15" s="611"/>
      <c r="AL15" s="612"/>
      <c r="AM15" s="610">
        <f>CF_Rare_Champion11</f>
        <v>0</v>
      </c>
      <c r="AN15" s="611"/>
      <c r="AO15" s="611"/>
      <c r="AP15" s="612"/>
      <c r="AQ15" s="610">
        <f>CF_Rare_Champion12</f>
        <v>0</v>
      </c>
      <c r="AR15" s="611"/>
      <c r="AS15" s="611"/>
      <c r="AT15" s="641"/>
      <c r="AU15" s="610">
        <f>CF_Rare_Champion15</f>
        <v>0</v>
      </c>
      <c r="AV15" s="611"/>
      <c r="AW15" s="611"/>
      <c r="AX15" s="612"/>
      <c r="AY15" s="654">
        <f>CF_Rare_Champion16</f>
        <v>0</v>
      </c>
      <c r="AZ15" s="611"/>
      <c r="BA15" s="611"/>
      <c r="BB15" s="612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271</v>
      </c>
      <c r="X16" s="92" t="s">
        <v>272</v>
      </c>
      <c r="Y16" s="92" t="s">
        <v>283</v>
      </c>
      <c r="Z16" s="93" t="s">
        <v>282</v>
      </c>
      <c r="AA16" s="91" t="s">
        <v>271</v>
      </c>
      <c r="AB16" s="92" t="s">
        <v>272</v>
      </c>
      <c r="AC16" s="92" t="s">
        <v>283</v>
      </c>
      <c r="AD16" s="93" t="s">
        <v>282</v>
      </c>
      <c r="AE16" s="91" t="s">
        <v>271</v>
      </c>
      <c r="AF16" s="92" t="s">
        <v>272</v>
      </c>
      <c r="AG16" s="92" t="s">
        <v>283</v>
      </c>
      <c r="AH16" s="93" t="s">
        <v>282</v>
      </c>
      <c r="AI16" s="91" t="s">
        <v>271</v>
      </c>
      <c r="AJ16" s="92" t="s">
        <v>272</v>
      </c>
      <c r="AK16" s="92" t="s">
        <v>283</v>
      </c>
      <c r="AL16" s="93" t="s">
        <v>282</v>
      </c>
      <c r="AM16" s="91" t="s">
        <v>271</v>
      </c>
      <c r="AN16" s="92" t="s">
        <v>272</v>
      </c>
      <c r="AO16" s="92" t="s">
        <v>283</v>
      </c>
      <c r="AP16" s="93" t="s">
        <v>282</v>
      </c>
      <c r="AQ16" s="91" t="s">
        <v>271</v>
      </c>
      <c r="AR16" s="92" t="s">
        <v>272</v>
      </c>
      <c r="AS16" s="92" t="s">
        <v>283</v>
      </c>
      <c r="AT16" s="114" t="s">
        <v>282</v>
      </c>
      <c r="AU16" s="91" t="s">
        <v>271</v>
      </c>
      <c r="AV16" s="92" t="s">
        <v>272</v>
      </c>
      <c r="AW16" s="92" t="s">
        <v>283</v>
      </c>
      <c r="AX16" s="93" t="s">
        <v>282</v>
      </c>
      <c r="AY16" s="115" t="s">
        <v>271</v>
      </c>
      <c r="AZ16" s="92" t="s">
        <v>272</v>
      </c>
      <c r="BA16" s="92" t="s">
        <v>283</v>
      </c>
      <c r="BB16" s="93" t="s">
        <v>282</v>
      </c>
    </row>
    <row r="17" spans="2:54" s="77" customFormat="1" x14ac:dyDescent="0.25">
      <c r="B17" s="108" t="s">
        <v>280</v>
      </c>
      <c r="C17" s="109"/>
      <c r="D17" s="108" t="s">
        <v>280</v>
      </c>
      <c r="E17" s="109"/>
      <c r="F17" s="116"/>
      <c r="G17" s="108" t="s">
        <v>280</v>
      </c>
      <c r="H17" s="109"/>
      <c r="I17" s="108" t="s">
        <v>280</v>
      </c>
      <c r="J17" s="109"/>
      <c r="K17" s="116"/>
      <c r="L17" s="108" t="s">
        <v>280</v>
      </c>
      <c r="M17" s="109"/>
      <c r="N17" s="108" t="s">
        <v>280</v>
      </c>
      <c r="O17" s="109"/>
      <c r="P17" s="116"/>
      <c r="Q17" s="108" t="s">
        <v>280</v>
      </c>
      <c r="R17" s="109"/>
      <c r="S17" s="108" t="s">
        <v>280</v>
      </c>
      <c r="T17" s="109"/>
      <c r="V17" s="110" t="s">
        <v>280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281</v>
      </c>
      <c r="C18" s="112" t="s">
        <v>133</v>
      </c>
      <c r="D18" s="111" t="s">
        <v>281</v>
      </c>
      <c r="E18" s="112" t="s">
        <v>133</v>
      </c>
      <c r="G18" s="111" t="s">
        <v>281</v>
      </c>
      <c r="H18" s="112" t="s">
        <v>133</v>
      </c>
      <c r="I18" s="111" t="s">
        <v>281</v>
      </c>
      <c r="J18" s="112" t="s">
        <v>133</v>
      </c>
      <c r="L18" s="111" t="s">
        <v>281</v>
      </c>
      <c r="M18" s="112" t="s">
        <v>133</v>
      </c>
      <c r="N18" s="111" t="s">
        <v>281</v>
      </c>
      <c r="O18" s="112" t="s">
        <v>133</v>
      </c>
      <c r="Q18" s="111" t="s">
        <v>281</v>
      </c>
      <c r="R18" s="112" t="s">
        <v>133</v>
      </c>
      <c r="S18" s="111" t="s">
        <v>281</v>
      </c>
      <c r="T18" s="112" t="s">
        <v>133</v>
      </c>
      <c r="V18" s="113" t="s">
        <v>281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284</v>
      </c>
      <c r="C20" s="125"/>
      <c r="D20" s="452" t="s">
        <v>35</v>
      </c>
      <c r="E20" s="453"/>
      <c r="G20" s="642" t="s">
        <v>285</v>
      </c>
      <c r="H20" s="643"/>
      <c r="I20" s="643"/>
      <c r="J20" s="644"/>
      <c r="L20" s="642" t="s">
        <v>285</v>
      </c>
      <c r="M20" s="643"/>
      <c r="N20" s="643"/>
      <c r="O20" s="644"/>
      <c r="Q20" s="645" t="s">
        <v>286</v>
      </c>
      <c r="R20" s="646"/>
      <c r="S20" s="646"/>
      <c r="T20" s="647"/>
      <c r="W20" s="648" t="s">
        <v>21</v>
      </c>
      <c r="X20" s="649"/>
      <c r="Y20" s="630" t="s">
        <v>287</v>
      </c>
      <c r="Z20" s="631"/>
      <c r="AA20" s="632"/>
      <c r="AB20" s="630" t="s">
        <v>288</v>
      </c>
      <c r="AC20" s="631"/>
      <c r="AD20" s="632"/>
      <c r="AF20" s="633" t="s">
        <v>289</v>
      </c>
      <c r="AG20" s="634"/>
      <c r="AH20" s="634"/>
      <c r="AI20" s="635"/>
      <c r="AK20" s="126" t="s">
        <v>21</v>
      </c>
      <c r="AR20" s="2" t="s">
        <v>290</v>
      </c>
      <c r="AU20" s="2" t="s">
        <v>291</v>
      </c>
    </row>
    <row r="21" spans="2:54" ht="21.75" thickBot="1" x14ac:dyDescent="0.4">
      <c r="B21" s="124" t="s">
        <v>292</v>
      </c>
      <c r="C21" s="125"/>
      <c r="D21" s="460" t="s">
        <v>259</v>
      </c>
      <c r="E21" s="461"/>
      <c r="G21" s="636" t="s">
        <v>293</v>
      </c>
      <c r="H21" s="637"/>
      <c r="I21" s="637"/>
      <c r="J21" s="638"/>
      <c r="L21" s="636" t="s">
        <v>294</v>
      </c>
      <c r="M21" s="637"/>
      <c r="N21" s="637"/>
      <c r="O21" s="638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295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639" t="s">
        <v>296</v>
      </c>
      <c r="AG21" s="640"/>
      <c r="AH21" s="640"/>
      <c r="AI21" s="136">
        <f>(VALUE(LEFT(CF_Stage,FIND("-",CF_Stage)-1))-1)*7+VALUE(RIGHT(CF_Stage,1))</f>
        <v>80</v>
      </c>
      <c r="AK21" s="137" t="s">
        <v>295</v>
      </c>
      <c r="AL21" s="138" t="s">
        <v>271</v>
      </c>
      <c r="AM21" s="139" t="s">
        <v>272</v>
      </c>
      <c r="AN21" s="139" t="s">
        <v>282</v>
      </c>
      <c r="AO21" s="140" t="s">
        <v>273</v>
      </c>
      <c r="AP21" s="138" t="s">
        <v>297</v>
      </c>
      <c r="AQ21" s="139" t="s">
        <v>298</v>
      </c>
      <c r="AR21" s="140" t="s">
        <v>299</v>
      </c>
      <c r="AS21" s="138" t="s">
        <v>274</v>
      </c>
      <c r="AT21" s="139" t="s">
        <v>275</v>
      </c>
      <c r="AU21" s="140" t="s">
        <v>276</v>
      </c>
    </row>
    <row r="22" spans="2:54" ht="24" thickBot="1" x14ac:dyDescent="0.3">
      <c r="B22" s="623" t="s">
        <v>300</v>
      </c>
      <c r="C22" s="624"/>
      <c r="D22" s="625"/>
      <c r="E22" s="141">
        <v>30</v>
      </c>
      <c r="G22" s="626" t="s">
        <v>301</v>
      </c>
      <c r="H22" s="627"/>
      <c r="I22" s="444">
        <f>SUM(CF_XP_Epic4,CF_XP_Epic5,CF_XP_Rare3,CF_XP_Rare4)</f>
        <v>10108208</v>
      </c>
      <c r="J22" s="445"/>
      <c r="L22" s="626" t="s">
        <v>301</v>
      </c>
      <c r="M22" s="627"/>
      <c r="N22" s="444">
        <f>SUM(CF_XP_Epic4,CF_XP_Epic5,CF_XP_Rare3,CF_XP_Rare4,CF_XP_Legend5,CF_XP_Legend6)</f>
        <v>13082683</v>
      </c>
      <c r="O22" s="445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628" t="s">
        <v>302</v>
      </c>
      <c r="AG22" s="629"/>
      <c r="AH22" s="629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93" t="s">
        <v>303</v>
      </c>
      <c r="C23" s="593"/>
      <c r="D23" s="594"/>
      <c r="E23" s="141">
        <v>5</v>
      </c>
      <c r="G23" s="152" t="s">
        <v>304</v>
      </c>
      <c r="H23" s="153"/>
      <c r="I23" s="605">
        <f>ROUNDUP(I22/CF_XP_perRun,0)</f>
        <v>779</v>
      </c>
      <c r="J23" s="606"/>
      <c r="L23" s="152" t="s">
        <v>304</v>
      </c>
      <c r="M23" s="154"/>
      <c r="N23" s="605">
        <f>ROUNDUP(N22/CF_XP_perRun,0)</f>
        <v>1009</v>
      </c>
      <c r="O23" s="606"/>
      <c r="Q23" s="155" t="s">
        <v>265</v>
      </c>
      <c r="R23" s="143">
        <f t="shared" si="0"/>
        <v>0</v>
      </c>
      <c r="S23" s="143">
        <f t="shared" si="0"/>
        <v>20</v>
      </c>
      <c r="T23" s="144">
        <f t="shared" si="0"/>
        <v>6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613" t="s">
        <v>305</v>
      </c>
      <c r="AG23" s="614"/>
      <c r="AH23" s="614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306</v>
      </c>
      <c r="C24" s="162"/>
      <c r="D24" s="162"/>
      <c r="E24" s="163">
        <v>4</v>
      </c>
      <c r="G24" s="164" t="s">
        <v>307</v>
      </c>
      <c r="H24" s="165"/>
      <c r="I24" s="615">
        <f>I23*CF_Energy_perRun</f>
        <v>6232</v>
      </c>
      <c r="J24" s="616"/>
      <c r="L24" s="164" t="s">
        <v>307</v>
      </c>
      <c r="M24" s="166"/>
      <c r="N24" s="615">
        <f>N23*CF_Energy_perRun</f>
        <v>8072</v>
      </c>
      <c r="O24" s="616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617" t="s">
        <v>308</v>
      </c>
      <c r="AG24" s="618"/>
      <c r="AH24" s="167" t="s">
        <v>309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310</v>
      </c>
      <c r="C25" s="162"/>
      <c r="D25" s="162"/>
      <c r="E25" s="141">
        <v>3</v>
      </c>
      <c r="G25" s="595" t="s">
        <v>311</v>
      </c>
      <c r="H25" s="596"/>
      <c r="I25" s="596"/>
      <c r="J25" s="597"/>
      <c r="L25" s="595" t="s">
        <v>311</v>
      </c>
      <c r="M25" s="596"/>
      <c r="N25" s="596"/>
      <c r="O25" s="597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 t="str">
        <f>$AL$9</f>
        <v>force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619"/>
      <c r="AG25" s="620"/>
      <c r="AH25" s="175" t="s">
        <v>312</v>
      </c>
      <c r="AI25" s="176">
        <f>IF(CF_RaidPass="On",1.2,1)</f>
        <v>1</v>
      </c>
      <c r="AJ25" s="8">
        <v>4</v>
      </c>
      <c r="AK25" s="177" t="str">
        <f>$AL$9</f>
        <v>force</v>
      </c>
      <c r="AL25" s="86">
        <f>AI8</f>
        <v>50</v>
      </c>
      <c r="AM25" s="87">
        <f>AJ8</f>
        <v>50</v>
      </c>
      <c r="AN25" s="87">
        <f>AK8</f>
        <v>0</v>
      </c>
      <c r="AO25" s="88">
        <f>AL8</f>
        <v>0</v>
      </c>
      <c r="AP25" s="86">
        <f>IF(AN25=40,1,IF(AN25=0,0,40-AN25))</f>
        <v>0</v>
      </c>
      <c r="AQ25" s="87">
        <f>IF(AP25=0,0,40)</f>
        <v>0</v>
      </c>
      <c r="AR25" s="178">
        <f>IF(AN25=0,0,SUM(INDEX(V_XP_4Star,AP25):INDEX(V_XP_4Star,AQ25-1)))</f>
        <v>0</v>
      </c>
      <c r="AS25" s="86">
        <f>IF(AO25=50,1,IF(AO25=0,0,50-AO25))</f>
        <v>0</v>
      </c>
      <c r="AT25" s="87">
        <f>IF(AS25=0,0,50)</f>
        <v>0</v>
      </c>
      <c r="AU25" s="178">
        <f>IF(AO25=0,0,SUM(INDEX(V_XP_5Star,AS25):INDEX(V_XP_5Star,AT25-1)))</f>
        <v>0</v>
      </c>
    </row>
    <row r="26" spans="2:54" ht="24" thickBot="1" x14ac:dyDescent="0.3">
      <c r="B26" s="593" t="s">
        <v>313</v>
      </c>
      <c r="C26" s="593"/>
      <c r="D26" s="594"/>
      <c r="E26" s="163" t="s">
        <v>314</v>
      </c>
      <c r="G26" s="626" t="s">
        <v>315</v>
      </c>
      <c r="H26" s="627"/>
      <c r="I26" s="627"/>
      <c r="J26" s="179">
        <f>ROUNDUP(I22/17500,0)</f>
        <v>578</v>
      </c>
      <c r="L26" s="626" t="s">
        <v>315</v>
      </c>
      <c r="M26" s="627"/>
      <c r="N26" s="627"/>
      <c r="O26" s="179">
        <f>ROUNDUP(N22/17500,0)</f>
        <v>748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621"/>
      <c r="AG26" s="622"/>
      <c r="AH26" s="183" t="s">
        <v>316</v>
      </c>
      <c r="AI26" s="184">
        <f>IF(CF_Lvl100BattlePass="On",0.5,0)</f>
        <v>0</v>
      </c>
    </row>
    <row r="27" spans="2:54" ht="21.75" thickBot="1" x14ac:dyDescent="0.3">
      <c r="B27" s="593" t="s">
        <v>317</v>
      </c>
      <c r="C27" s="593"/>
      <c r="D27" s="594"/>
      <c r="E27" s="163" t="s">
        <v>314</v>
      </c>
      <c r="G27" s="601" t="s">
        <v>318</v>
      </c>
      <c r="H27" s="602"/>
      <c r="I27" s="602"/>
      <c r="J27" s="185">
        <f>ROUNDUP(I24/CF_FullEnergy,0)*40</f>
        <v>1920</v>
      </c>
      <c r="L27" s="601" t="s">
        <v>318</v>
      </c>
      <c r="M27" s="602"/>
      <c r="N27" s="602"/>
      <c r="O27" s="185">
        <f>ROUNDUP(N24/CF_FullEnergy,0)*40</f>
        <v>2520</v>
      </c>
      <c r="W27" s="603" t="s">
        <v>20</v>
      </c>
      <c r="X27" s="604"/>
      <c r="Y27" s="587" t="s">
        <v>287</v>
      </c>
      <c r="Z27" s="588"/>
      <c r="AA27" s="589"/>
      <c r="AB27" s="587" t="s">
        <v>288</v>
      </c>
      <c r="AC27" s="588"/>
      <c r="AD27" s="589"/>
      <c r="AF27" s="590" t="s">
        <v>319</v>
      </c>
      <c r="AG27" s="591"/>
      <c r="AH27" s="592"/>
      <c r="AI27" s="186">
        <f>AI24*AI25+AI26</f>
        <v>1</v>
      </c>
      <c r="AK27" s="187" t="s">
        <v>20</v>
      </c>
      <c r="AL27" s="188"/>
      <c r="AR27" s="2" t="s">
        <v>320</v>
      </c>
      <c r="AU27" s="2" t="s">
        <v>321</v>
      </c>
    </row>
    <row r="28" spans="2:54" ht="21.75" thickBot="1" x14ac:dyDescent="0.3">
      <c r="B28" s="593" t="s">
        <v>322</v>
      </c>
      <c r="C28" s="593"/>
      <c r="D28" s="594"/>
      <c r="E28" s="163" t="s">
        <v>314</v>
      </c>
      <c r="G28" s="595" t="s">
        <v>323</v>
      </c>
      <c r="H28" s="596"/>
      <c r="I28" s="596"/>
      <c r="J28" s="597"/>
      <c r="L28" s="595" t="s">
        <v>323</v>
      </c>
      <c r="M28" s="596"/>
      <c r="N28" s="596"/>
      <c r="O28" s="597"/>
      <c r="W28" s="189" t="s">
        <v>295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598" t="s">
        <v>324</v>
      </c>
      <c r="AG28" s="599"/>
      <c r="AH28" s="600"/>
      <c r="AI28" s="150">
        <f>AI23*AI27</f>
        <v>17304</v>
      </c>
      <c r="AK28" s="194" t="s">
        <v>295</v>
      </c>
      <c r="AL28" s="195" t="s">
        <v>271</v>
      </c>
      <c r="AM28" s="196" t="s">
        <v>272</v>
      </c>
      <c r="AN28" s="196" t="s">
        <v>283</v>
      </c>
      <c r="AO28" s="197" t="s">
        <v>282</v>
      </c>
      <c r="AP28" s="195" t="s">
        <v>325</v>
      </c>
      <c r="AQ28" s="196" t="s">
        <v>326</v>
      </c>
      <c r="AR28" s="197" t="s">
        <v>327</v>
      </c>
      <c r="AS28" s="195" t="s">
        <v>297</v>
      </c>
      <c r="AT28" s="196" t="s">
        <v>298</v>
      </c>
      <c r="AU28" s="197" t="s">
        <v>299</v>
      </c>
    </row>
    <row r="29" spans="2:54" ht="21.75" thickBot="1" x14ac:dyDescent="0.4">
      <c r="B29" s="593" t="s">
        <v>328</v>
      </c>
      <c r="C29" s="593"/>
      <c r="D29" s="594"/>
      <c r="E29" s="141">
        <v>130</v>
      </c>
      <c r="G29" s="607" t="str">
        <f>IF($E$22=0,"Not calculated",INT((SUM(I23*$E$22,I23*$E$23)/60)/60)&amp;" hrs "&amp;ROUNDUP(SUM(I23*$E$22,I23*$E$23)/60-(INT((SUM(I23*$E$22,I23*$E$23)/60)/60)*60),0)&amp;"mins")</f>
        <v>7 hrs 35mins</v>
      </c>
      <c r="H29" s="608"/>
      <c r="I29" s="608"/>
      <c r="J29" s="609"/>
      <c r="L29" s="607" t="str">
        <f>IF($E$22=0,"Not calculated",INT((SUM(N23*$E$22,N23*$E$23)/60)/60)&amp;" hrs "&amp;ROUNDUP(SUM(N23*$E$22,N23*$E$23)/60-(INT((SUM(N23*$E$22,N23*$E$23)/60)/60)*60),0)&amp;"mins")</f>
        <v>9 hrs 49mins</v>
      </c>
      <c r="M29" s="608"/>
      <c r="N29" s="608"/>
      <c r="O29" s="609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581" t="s">
        <v>329</v>
      </c>
      <c r="AG29" s="582"/>
      <c r="AH29" s="583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584" t="s">
        <v>330</v>
      </c>
      <c r="AG30" s="585"/>
      <c r="AH30" s="585"/>
      <c r="AI30" s="178">
        <f>AI29*CF_Food</f>
        <v>12978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586" t="s">
        <v>331</v>
      </c>
      <c r="AG32" s="586"/>
      <c r="AH32" s="586"/>
      <c r="AI32" s="586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586"/>
      <c r="AG33" s="586"/>
      <c r="AH33" s="586"/>
      <c r="AI33" s="586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586"/>
      <c r="AG34" s="586"/>
      <c r="AH34" s="586"/>
      <c r="AI34" s="586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586"/>
      <c r="AG35" s="586"/>
      <c r="AH35" s="586"/>
      <c r="AI35" s="586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586"/>
      <c r="AG36" s="586"/>
      <c r="AH36" s="586"/>
      <c r="AI36" s="586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586"/>
      <c r="AG37" s="586"/>
      <c r="AH37" s="586"/>
      <c r="AI37" s="586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586"/>
      <c r="AG38" s="586"/>
      <c r="AH38" s="586"/>
      <c r="AI38" s="586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586"/>
      <c r="AG39" s="586"/>
      <c r="AH39" s="586"/>
      <c r="AI39" s="586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586"/>
      <c r="AG40" s="586"/>
      <c r="AH40" s="586"/>
      <c r="AI40" s="586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586"/>
      <c r="AG41" s="586"/>
      <c r="AH41" s="586"/>
      <c r="AI41" s="586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0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0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0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0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0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0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0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0</v>
      </c>
    </row>
  </sheetData>
  <mergeCells count="119">
    <mergeCell ref="B1:T1"/>
    <mergeCell ref="D3:P4"/>
    <mergeCell ref="Q3:R3"/>
    <mergeCell ref="Q4:R4"/>
    <mergeCell ref="B5:E5"/>
    <mergeCell ref="G5:J5"/>
    <mergeCell ref="L5:O5"/>
    <mergeCell ref="Q5:T5"/>
    <mergeCell ref="AE6:AH6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</mergeCells>
  <conditionalFormatting sqref="Q4:R4 D7:E7 I7:J7 N7:O7 S7:T7 C12 E12 H12 J12 M12 O12 R12 T12 C16 E16 H16 J16 M16 O16 R16 T16">
    <cfRule type="containsText" dxfId="72" priority="78" operator="containsText" text="Void">
      <formula>NOT(ISERROR(SEARCH("Void",C4)))</formula>
    </cfRule>
    <cfRule type="containsText" dxfId="71" priority="79" operator="containsText" text="Magic">
      <formula>NOT(ISERROR(SEARCH("Magic",C4)))</formula>
    </cfRule>
    <cfRule type="containsText" dxfId="70" priority="80" operator="containsText" text="Spirit">
      <formula>NOT(ISERROR(SEARCH("Spirit",C4)))</formula>
    </cfRule>
    <cfRule type="containsText" dxfId="69" priority="81" operator="containsText" text="Force">
      <formula>NOT(ISERROR(SEARCH("Force",C4)))</formula>
    </cfRule>
  </conditionalFormatting>
  <conditionalFormatting sqref="D8:E8 I8:J8 N8:O8 S8:T8">
    <cfRule type="containsBlanks" dxfId="68" priority="42">
      <formula>LEN(TRIM(D8))=0</formula>
    </cfRule>
    <cfRule type="containsText" dxfId="67" priority="77" operator="containsText" text="50/50">
      <formula>NOT(ISERROR(SEARCH("50/50",D8)))</formula>
    </cfRule>
  </conditionalFormatting>
  <conditionalFormatting sqref="D9:E9 I9:J9 N9:O9 S9:T9">
    <cfRule type="containsText" dxfId="66" priority="76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5" priority="75" operator="containsText" text="✦✦✦✦">
      <formula>NOT(ISERROR(SEARCH("✦✦✦✦",C14)))</formula>
    </cfRule>
  </conditionalFormatting>
  <conditionalFormatting sqref="B10:E12 B15:E16 B13:B14 D14:E14 D13 B18:E18 B17 D17">
    <cfRule type="expression" dxfId="64" priority="66">
      <formula>$A$10=1</formula>
    </cfRule>
  </conditionalFormatting>
  <conditionalFormatting sqref="G10:J12 G14:J16 G13 I13 G18:J18 G17 I17">
    <cfRule type="expression" dxfId="63" priority="56">
      <formula>$F$10=1</formula>
    </cfRule>
  </conditionalFormatting>
  <conditionalFormatting sqref="L10:O12 L14:O16 L13 N13 L18:O18 L17 N17">
    <cfRule type="expression" dxfId="62" priority="64">
      <formula>$K$10=1</formula>
    </cfRule>
  </conditionalFormatting>
  <conditionalFormatting sqref="Q10:T12 Q14:T16 Q13 S13 Q18:T18 Q17 S17">
    <cfRule type="expression" dxfId="61" priority="63">
      <formula>$P$10=1</formula>
    </cfRule>
  </conditionalFormatting>
  <conditionalFormatting sqref="B5:E9">
    <cfRule type="expression" dxfId="60" priority="62">
      <formula>$A$5=1</formula>
    </cfRule>
  </conditionalFormatting>
  <conditionalFormatting sqref="G5:J9">
    <cfRule type="expression" dxfId="59" priority="61">
      <formula>$A$5=1</formula>
    </cfRule>
  </conditionalFormatting>
  <conditionalFormatting sqref="L5:O9">
    <cfRule type="expression" dxfId="58" priority="60">
      <formula>$A$5=1</formula>
    </cfRule>
  </conditionalFormatting>
  <conditionalFormatting sqref="Q5:T9">
    <cfRule type="expression" dxfId="57" priority="59">
      <formula>$A$5=1</formula>
    </cfRule>
  </conditionalFormatting>
  <conditionalFormatting sqref="C13:C14">
    <cfRule type="containsBlanks" dxfId="56" priority="58">
      <formula>LEN(TRIM(C13))=0</formula>
    </cfRule>
  </conditionalFormatting>
  <conditionalFormatting sqref="E13">
    <cfRule type="containsBlanks" dxfId="55" priority="57">
      <formula>LEN(TRIM(E13))=0</formula>
    </cfRule>
  </conditionalFormatting>
  <conditionalFormatting sqref="H13">
    <cfRule type="containsBlanks" dxfId="54" priority="55">
      <formula>LEN(TRIM(H13))=0</formula>
    </cfRule>
  </conditionalFormatting>
  <conditionalFormatting sqref="J13">
    <cfRule type="containsBlanks" dxfId="53" priority="46">
      <formula>LEN(TRIM(J13))=0</formula>
    </cfRule>
  </conditionalFormatting>
  <conditionalFormatting sqref="M13">
    <cfRule type="containsBlanks" dxfId="52" priority="54">
      <formula>LEN(TRIM(M13))=0</formula>
    </cfRule>
  </conditionalFormatting>
  <conditionalFormatting sqref="O13">
    <cfRule type="containsBlanks" dxfId="51" priority="53">
      <formula>LEN(TRIM(O13))=0</formula>
    </cfRule>
  </conditionalFormatting>
  <conditionalFormatting sqref="R13">
    <cfRule type="containsBlanks" dxfId="50" priority="52">
      <formula>LEN(TRIM(R13))=0</formula>
    </cfRule>
  </conditionalFormatting>
  <conditionalFormatting sqref="T13">
    <cfRule type="containsBlanks" dxfId="49" priority="51">
      <formula>LEN(TRIM(T13))=0</formula>
    </cfRule>
  </conditionalFormatting>
  <conditionalFormatting sqref="T17">
    <cfRule type="containsBlanks" dxfId="48" priority="50">
      <formula>LEN(TRIM(T17))=0</formula>
    </cfRule>
  </conditionalFormatting>
  <conditionalFormatting sqref="R17">
    <cfRule type="containsBlanks" dxfId="47" priority="49">
      <formula>LEN(TRIM(R17))=0</formula>
    </cfRule>
  </conditionalFormatting>
  <conditionalFormatting sqref="O17">
    <cfRule type="containsBlanks" dxfId="46" priority="48">
      <formula>LEN(TRIM(O17))=0</formula>
    </cfRule>
  </conditionalFormatting>
  <conditionalFormatting sqref="M17">
    <cfRule type="containsBlanks" dxfId="45" priority="47">
      <formula>LEN(TRIM(M17))=0</formula>
    </cfRule>
  </conditionalFormatting>
  <conditionalFormatting sqref="J17">
    <cfRule type="containsBlanks" dxfId="44" priority="45">
      <formula>LEN(TRIM(J17))=0</formula>
    </cfRule>
  </conditionalFormatting>
  <conditionalFormatting sqref="H17">
    <cfRule type="containsBlanks" dxfId="43" priority="34">
      <formula>LEN(TRIM(H17))=0</formula>
    </cfRule>
  </conditionalFormatting>
  <conditionalFormatting sqref="E17">
    <cfRule type="containsBlanks" dxfId="42" priority="44">
      <formula>LEN(TRIM(E17))=0</formula>
    </cfRule>
  </conditionalFormatting>
  <conditionalFormatting sqref="C17">
    <cfRule type="containsBlanks" dxfId="41" priority="43">
      <formula>LEN(TRIM(C17))=0</formula>
    </cfRule>
  </conditionalFormatting>
  <conditionalFormatting sqref="D9:E9">
    <cfRule type="expression" dxfId="40" priority="41">
      <formula>D8=""</formula>
    </cfRule>
  </conditionalFormatting>
  <conditionalFormatting sqref="I9:J9">
    <cfRule type="expression" dxfId="39" priority="40">
      <formula>$A$5=1</formula>
    </cfRule>
  </conditionalFormatting>
  <conditionalFormatting sqref="I9:J9">
    <cfRule type="expression" dxfId="38" priority="39">
      <formula>I8=""</formula>
    </cfRule>
  </conditionalFormatting>
  <conditionalFormatting sqref="N9:O9">
    <cfRule type="expression" dxfId="37" priority="38">
      <formula>$A$5=1</formula>
    </cfRule>
  </conditionalFormatting>
  <conditionalFormatting sqref="N9:O9">
    <cfRule type="expression" dxfId="36" priority="37">
      <formula>N8=""</formula>
    </cfRule>
  </conditionalFormatting>
  <conditionalFormatting sqref="S9:T9">
    <cfRule type="expression" dxfId="35" priority="36">
      <formula>$A$5=1</formula>
    </cfRule>
  </conditionalFormatting>
  <conditionalFormatting sqref="S9:T9">
    <cfRule type="expression" dxfId="34" priority="35">
      <formula>S8=""</formula>
    </cfRule>
  </conditionalFormatting>
  <conditionalFormatting sqref="C14 E14 H14 J14 M14 O14 R14 T14 T18 R18 O18 M18 J18 H18 E18 C18">
    <cfRule type="expression" dxfId="33" priority="29">
      <formula>C13=""</formula>
    </cfRule>
  </conditionalFormatting>
  <conditionalFormatting sqref="D11:E14">
    <cfRule type="expression" dxfId="32" priority="33">
      <formula>$E$13=""</formula>
    </cfRule>
  </conditionalFormatting>
  <conditionalFormatting sqref="B11:C14">
    <cfRule type="expression" dxfId="31" priority="32">
      <formula>$C$13=""</formula>
    </cfRule>
  </conditionalFormatting>
  <conditionalFormatting sqref="B15:C18">
    <cfRule type="expression" dxfId="30" priority="31">
      <formula>$C$17=""</formula>
    </cfRule>
  </conditionalFormatting>
  <conditionalFormatting sqref="D15:E18">
    <cfRule type="expression" dxfId="29" priority="30">
      <formula>$E$17=""</formula>
    </cfRule>
  </conditionalFormatting>
  <conditionalFormatting sqref="G11:H14">
    <cfRule type="expression" dxfId="28" priority="28">
      <formula>$H$13=""</formula>
    </cfRule>
  </conditionalFormatting>
  <conditionalFormatting sqref="G15:H18">
    <cfRule type="expression" dxfId="27" priority="27">
      <formula>$H$17=""</formula>
    </cfRule>
  </conditionalFormatting>
  <conditionalFormatting sqref="I11:J14">
    <cfRule type="expression" dxfId="26" priority="26">
      <formula>$J$13=""</formula>
    </cfRule>
  </conditionalFormatting>
  <conditionalFormatting sqref="I15:J18">
    <cfRule type="expression" dxfId="25" priority="1">
      <formula>$J$17=""</formula>
    </cfRule>
  </conditionalFormatting>
  <conditionalFormatting sqref="L11:M14">
    <cfRule type="expression" dxfId="24" priority="25">
      <formula>$M$13=""</formula>
    </cfRule>
  </conditionalFormatting>
  <conditionalFormatting sqref="L15:M18">
    <cfRule type="expression" dxfId="23" priority="24">
      <formula>$M$17=""</formula>
    </cfRule>
  </conditionalFormatting>
  <conditionalFormatting sqref="N11:O14">
    <cfRule type="expression" dxfId="22" priority="23">
      <formula>$O$13=""</formula>
    </cfRule>
  </conditionalFormatting>
  <conditionalFormatting sqref="N15:O18">
    <cfRule type="expression" dxfId="21" priority="22">
      <formula>$O$17=""</formula>
    </cfRule>
  </conditionalFormatting>
  <conditionalFormatting sqref="Q11:R14">
    <cfRule type="expression" dxfId="20" priority="21">
      <formula>$R$13=""</formula>
    </cfRule>
  </conditionalFormatting>
  <conditionalFormatting sqref="Q15:R18">
    <cfRule type="expression" dxfId="19" priority="20">
      <formula>$R$17=""</formula>
    </cfRule>
  </conditionalFormatting>
  <conditionalFormatting sqref="S11:T14">
    <cfRule type="expression" dxfId="18" priority="19">
      <formula>$T$13=""</formula>
    </cfRule>
  </conditionalFormatting>
  <conditionalFormatting sqref="S15:T18">
    <cfRule type="expression" dxfId="17" priority="18">
      <formula>$T$17=""</formula>
    </cfRule>
  </conditionalFormatting>
  <conditionalFormatting sqref="B6:E9">
    <cfRule type="expression" dxfId="16" priority="17">
      <formula>$D$8=""</formula>
    </cfRule>
  </conditionalFormatting>
  <conditionalFormatting sqref="G6:J9">
    <cfRule type="expression" dxfId="15" priority="16">
      <formula>$I$8=""</formula>
    </cfRule>
  </conditionalFormatting>
  <conditionalFormatting sqref="L6:O9">
    <cfRule type="expression" dxfId="14" priority="15">
      <formula>$N$8=""</formula>
    </cfRule>
  </conditionalFormatting>
  <conditionalFormatting sqref="Q6:T9">
    <cfRule type="expression" dxfId="13" priority="14">
      <formula>$S$8=""</formula>
    </cfRule>
  </conditionalFormatting>
  <conditionalFormatting sqref="Q24:Q25">
    <cfRule type="cellIs" dxfId="12" priority="2" operator="equal">
      <formula>"Void"</formula>
    </cfRule>
    <cfRule type="cellIs" dxfId="11" priority="3" operator="equal">
      <formula>"Spirit"</formula>
    </cfRule>
    <cfRule type="cellIs" dxfId="10" priority="4" operator="equal">
      <formula>"Magic"</formula>
    </cfRule>
    <cfRule type="cellIs" dxfId="9" priority="5" operator="equal">
      <formula>"Force"</formula>
    </cfRule>
  </conditionalFormatting>
  <conditionalFormatting sqref="Q22">
    <cfRule type="cellIs" dxfId="8" priority="10" operator="equal">
      <formula>"Void"</formula>
    </cfRule>
    <cfRule type="cellIs" dxfId="7" priority="11" operator="equal">
      <formula>"Spirit"</formula>
    </cfRule>
    <cfRule type="cellIs" dxfId="6" priority="12" operator="equal">
      <formula>"Magic"</formula>
    </cfRule>
    <cfRule type="cellIs" dxfId="5" priority="13" operator="equal">
      <formula>"Force"</formula>
    </cfRule>
  </conditionalFormatting>
  <conditionalFormatting sqref="Q23">
    <cfRule type="cellIs" dxfId="4" priority="6" operator="equal">
      <formula>"Void"</formula>
    </cfRule>
    <cfRule type="cellIs" dxfId="3" priority="7" operator="equal">
      <formula>"Spirit"</formula>
    </cfRule>
    <cfRule type="cellIs" dxfId="2" priority="8" operator="equal">
      <formula>"Magic"</formula>
    </cfRule>
    <cfRule type="cellIs" dxfId="1" priority="9" operator="equal">
      <formula>"Force"</formula>
    </cfRule>
  </conditionalFormatting>
  <conditionalFormatting sqref="C13 E13 C17 E17 H13 J13 H17 J17 M13 O13 M17 O17 R13 T13 R17 T17">
    <cfRule type="containsText" dxfId="0" priority="73" operator="containsText" text="40/40">
      <formula>NOT(ISERROR(SEARCH("40/40",C13)))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4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5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2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1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0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69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68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67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zoomScaleNormal="100" workbookViewId="0">
      <selection activeCell="AP5" sqref="AP5:BH19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400</v>
      </c>
      <c r="P1" s="2" t="s">
        <v>401</v>
      </c>
      <c r="Q1" s="3" t="s">
        <v>7</v>
      </c>
      <c r="S1" s="4" t="s">
        <v>402</v>
      </c>
      <c r="T1" s="4" t="s">
        <v>403</v>
      </c>
      <c r="U1" s="4" t="s">
        <v>404</v>
      </c>
      <c r="V1" s="4" t="s">
        <v>405</v>
      </c>
      <c r="W1" s="4" t="s">
        <v>406</v>
      </c>
      <c r="X1" s="4" t="s">
        <v>407</v>
      </c>
      <c r="Z1" s="2" t="s">
        <v>408</v>
      </c>
      <c r="AA1" s="2" t="s">
        <v>409</v>
      </c>
      <c r="AB1" s="2" t="s">
        <v>410</v>
      </c>
      <c r="AD1" s="2" t="s">
        <v>411</v>
      </c>
      <c r="AE1" s="2" t="s">
        <v>412</v>
      </c>
      <c r="AF1" s="2" t="s">
        <v>413</v>
      </c>
      <c r="AG1" s="2" t="s">
        <v>414</v>
      </c>
      <c r="AH1" s="2" t="s">
        <v>415</v>
      </c>
      <c r="AK1" s="2" t="s">
        <v>416</v>
      </c>
      <c r="AL1" s="2" t="s">
        <v>417</v>
      </c>
      <c r="AM1" s="2" t="s">
        <v>418</v>
      </c>
      <c r="AN1" s="2" t="s">
        <v>419</v>
      </c>
      <c r="AP1" s="2" t="s">
        <v>451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77" t="s">
        <v>10</v>
      </c>
      <c r="F3" s="678"/>
      <c r="G3" s="680"/>
      <c r="H3" s="680"/>
      <c r="I3" s="680"/>
      <c r="J3" s="680"/>
      <c r="K3" s="680"/>
      <c r="L3" s="680"/>
      <c r="M3" s="676"/>
      <c r="O3" s="681" t="s">
        <v>11</v>
      </c>
      <c r="P3" s="682"/>
      <c r="R3" s="677" t="s">
        <v>12</v>
      </c>
      <c r="S3" s="678"/>
      <c r="T3" s="678"/>
      <c r="U3" s="678"/>
      <c r="V3" s="678"/>
      <c r="W3" s="678"/>
      <c r="X3" s="679"/>
      <c r="Z3" s="677" t="s">
        <v>13</v>
      </c>
      <c r="AA3" s="678"/>
      <c r="AB3" s="679"/>
      <c r="AD3" s="675" t="s">
        <v>14</v>
      </c>
      <c r="AE3" s="680"/>
      <c r="AF3" s="680"/>
      <c r="AG3" s="680"/>
      <c r="AH3" s="676"/>
      <c r="AJ3" s="677" t="s">
        <v>15</v>
      </c>
      <c r="AK3" s="678"/>
      <c r="AL3" s="678"/>
      <c r="AM3" s="678"/>
      <c r="AN3" s="679"/>
      <c r="AP3" s="675" t="s">
        <v>452</v>
      </c>
      <c r="AQ3" s="680"/>
      <c r="AR3" s="680"/>
      <c r="AS3" s="680"/>
      <c r="AT3" s="680"/>
      <c r="AU3" s="680"/>
      <c r="AV3" s="680"/>
      <c r="AW3" s="680"/>
      <c r="AX3" s="680"/>
      <c r="AY3" s="680"/>
      <c r="AZ3" s="680"/>
      <c r="BA3" s="680"/>
      <c r="BB3" s="680"/>
      <c r="BC3" s="680"/>
      <c r="BD3" s="680"/>
      <c r="BE3" s="680"/>
      <c r="BF3" s="680"/>
      <c r="BG3" s="680"/>
      <c r="BH3" s="676"/>
    </row>
    <row r="4" spans="1:60" ht="15.75" thickBot="1" x14ac:dyDescent="0.3">
      <c r="E4" s="675" t="s">
        <v>16</v>
      </c>
      <c r="F4" s="676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55" t="s">
        <v>439</v>
      </c>
      <c r="AQ4" s="258" t="s">
        <v>345</v>
      </c>
      <c r="AR4" s="259" t="s">
        <v>380</v>
      </c>
      <c r="AS4" s="256" t="s">
        <v>440</v>
      </c>
      <c r="AT4" s="256" t="s">
        <v>441</v>
      </c>
      <c r="AU4" s="256" t="s">
        <v>442</v>
      </c>
      <c r="AV4" s="256" t="s">
        <v>434</v>
      </c>
      <c r="AW4" s="256" t="s">
        <v>443</v>
      </c>
      <c r="AX4" s="256" t="s">
        <v>444</v>
      </c>
      <c r="AY4" s="256" t="s">
        <v>445</v>
      </c>
      <c r="AZ4" s="256" t="s">
        <v>435</v>
      </c>
      <c r="BA4" s="256" t="s">
        <v>446</v>
      </c>
      <c r="BB4" s="256" t="s">
        <v>447</v>
      </c>
      <c r="BC4" s="256" t="s">
        <v>448</v>
      </c>
      <c r="BD4" s="256" t="s">
        <v>436</v>
      </c>
      <c r="BE4" s="256" t="s">
        <v>437</v>
      </c>
      <c r="BF4" s="256" t="s">
        <v>449</v>
      </c>
      <c r="BG4" s="256" t="s">
        <v>450</v>
      </c>
      <c r="BH4" s="256" t="s">
        <v>438</v>
      </c>
    </row>
    <row r="5" spans="1:60" x14ac:dyDescent="0.25">
      <c r="E5" s="21">
        <v>1</v>
      </c>
      <c r="F5" s="672" t="s">
        <v>38</v>
      </c>
      <c r="G5" s="23">
        <v>2</v>
      </c>
      <c r="H5" s="24"/>
      <c r="I5" s="25"/>
      <c r="J5" s="672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63" t="s">
        <v>357</v>
      </c>
      <c r="AQ5" s="260">
        <v>44299</v>
      </c>
      <c r="AR5" s="261">
        <v>44302</v>
      </c>
      <c r="AS5" s="257">
        <v>15</v>
      </c>
      <c r="AT5" s="257" t="s">
        <v>427</v>
      </c>
      <c r="AU5" s="257">
        <v>2000</v>
      </c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</row>
    <row r="6" spans="1:60" x14ac:dyDescent="0.25">
      <c r="A6" s="8" t="s">
        <v>62</v>
      </c>
      <c r="E6" s="39">
        <v>2</v>
      </c>
      <c r="F6" s="673"/>
      <c r="G6" s="35">
        <v>2</v>
      </c>
      <c r="H6" s="36"/>
      <c r="I6" s="37"/>
      <c r="J6" s="673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63" t="s">
        <v>353</v>
      </c>
      <c r="AQ6" s="260">
        <v>44299</v>
      </c>
      <c r="AR6" s="261">
        <v>44302</v>
      </c>
      <c r="AS6" s="257">
        <v>15</v>
      </c>
      <c r="AT6" s="257" t="s">
        <v>428</v>
      </c>
      <c r="AU6" s="257">
        <v>2050</v>
      </c>
      <c r="AV6" s="257"/>
      <c r="AW6" s="257"/>
      <c r="AX6" s="257"/>
      <c r="AY6" s="257"/>
      <c r="AZ6" s="257"/>
      <c r="BA6" s="257"/>
      <c r="BB6" s="257"/>
      <c r="BC6" s="257"/>
      <c r="BD6" s="257"/>
      <c r="BE6" s="257">
        <v>5</v>
      </c>
      <c r="BF6" s="257" t="s">
        <v>428</v>
      </c>
      <c r="BG6" s="257"/>
      <c r="BH6" s="257"/>
    </row>
    <row r="7" spans="1:60" x14ac:dyDescent="0.25">
      <c r="A7" s="54" t="s">
        <v>393</v>
      </c>
      <c r="B7" s="55" t="b">
        <v>0</v>
      </c>
      <c r="E7" s="39">
        <v>3</v>
      </c>
      <c r="F7" s="673"/>
      <c r="G7" s="35">
        <v>3</v>
      </c>
      <c r="H7" s="36"/>
      <c r="I7" s="37"/>
      <c r="J7" s="673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  <c r="AP7" s="263" t="s">
        <v>466</v>
      </c>
      <c r="AQ7" s="260">
        <v>44301</v>
      </c>
      <c r="AR7" s="261">
        <v>44306</v>
      </c>
      <c r="AS7" s="257">
        <v>15</v>
      </c>
      <c r="AT7" s="257" t="s">
        <v>426</v>
      </c>
      <c r="AU7" s="257">
        <v>455</v>
      </c>
      <c r="AV7" s="257"/>
      <c r="AW7" s="257"/>
      <c r="AX7" s="257"/>
      <c r="AY7" s="257"/>
      <c r="AZ7" s="257"/>
      <c r="BA7" s="257"/>
      <c r="BB7" s="257"/>
      <c r="BC7" s="257"/>
      <c r="BD7" s="257"/>
      <c r="BE7" s="257">
        <v>5</v>
      </c>
      <c r="BF7" s="257" t="s">
        <v>426</v>
      </c>
      <c r="BG7" s="257"/>
      <c r="BH7" s="257"/>
    </row>
    <row r="8" spans="1:60" ht="15.75" thickBot="1" x14ac:dyDescent="0.3">
      <c r="A8" s="54" t="s">
        <v>394</v>
      </c>
      <c r="B8" s="55" t="b">
        <v>0</v>
      </c>
      <c r="E8" s="39">
        <v>4</v>
      </c>
      <c r="F8" s="673"/>
      <c r="G8" s="35">
        <v>3</v>
      </c>
      <c r="H8" s="36"/>
      <c r="I8" s="37"/>
      <c r="J8" s="673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  <c r="AP8" s="263" t="s">
        <v>369</v>
      </c>
      <c r="AQ8" s="260">
        <v>44302</v>
      </c>
      <c r="AR8" s="261">
        <v>44305</v>
      </c>
      <c r="AS8" s="257">
        <v>15</v>
      </c>
      <c r="AT8" s="257" t="s">
        <v>426</v>
      </c>
      <c r="AU8" s="257">
        <v>1150</v>
      </c>
      <c r="AV8" s="257">
        <v>20</v>
      </c>
      <c r="AW8" s="257" t="s">
        <v>425</v>
      </c>
      <c r="AX8" s="257">
        <v>2500</v>
      </c>
      <c r="AY8" s="257"/>
      <c r="AZ8" s="257"/>
      <c r="BA8" s="257"/>
      <c r="BB8" s="257"/>
      <c r="BC8" s="257"/>
      <c r="BD8" s="257"/>
      <c r="BE8" s="257">
        <v>10</v>
      </c>
      <c r="BF8" s="257" t="s">
        <v>425</v>
      </c>
      <c r="BG8" s="257">
        <v>10</v>
      </c>
      <c r="BH8" s="257" t="s">
        <v>426</v>
      </c>
    </row>
    <row r="9" spans="1:60" x14ac:dyDescent="0.25">
      <c r="A9" s="54" t="s">
        <v>395</v>
      </c>
      <c r="B9" s="55" t="b">
        <v>0</v>
      </c>
      <c r="E9" s="39">
        <v>5</v>
      </c>
      <c r="F9" s="673"/>
      <c r="G9" s="35"/>
      <c r="H9" s="36"/>
      <c r="I9" s="37"/>
      <c r="J9" s="673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  <c r="AP9" s="263" t="s">
        <v>373</v>
      </c>
      <c r="AQ9" s="260">
        <v>44302</v>
      </c>
      <c r="AR9" s="261">
        <v>44309</v>
      </c>
      <c r="AS9" s="257">
        <v>15</v>
      </c>
      <c r="AT9" s="257" t="s">
        <v>427</v>
      </c>
      <c r="AU9" s="257">
        <v>2500</v>
      </c>
      <c r="AV9" s="257">
        <v>15</v>
      </c>
      <c r="AW9" s="257" t="s">
        <v>428</v>
      </c>
      <c r="AX9" s="257">
        <v>4150</v>
      </c>
      <c r="AY9" s="257">
        <v>20</v>
      </c>
      <c r="AZ9" s="257" t="s">
        <v>426</v>
      </c>
      <c r="BA9" s="257">
        <v>7300</v>
      </c>
      <c r="BB9" s="257">
        <v>20</v>
      </c>
      <c r="BC9" s="257" t="s">
        <v>425</v>
      </c>
      <c r="BD9" s="257">
        <v>12750</v>
      </c>
      <c r="BE9" s="257"/>
      <c r="BF9" s="257"/>
      <c r="BG9" s="257"/>
      <c r="BH9" s="257"/>
    </row>
    <row r="10" spans="1:60" ht="15.75" thickBot="1" x14ac:dyDescent="0.3">
      <c r="A10" s="54" t="s">
        <v>396</v>
      </c>
      <c r="B10" s="55" t="b">
        <v>0</v>
      </c>
      <c r="E10" s="50">
        <v>6</v>
      </c>
      <c r="F10" s="674"/>
      <c r="G10" s="47"/>
      <c r="H10" s="48"/>
      <c r="I10" s="49"/>
      <c r="J10" s="674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  <c r="AP10" s="263" t="s">
        <v>364</v>
      </c>
      <c r="AQ10" s="260">
        <v>44303</v>
      </c>
      <c r="AR10" s="261">
        <v>44306</v>
      </c>
      <c r="AS10" s="257">
        <v>20</v>
      </c>
      <c r="AT10" s="257" t="s">
        <v>428</v>
      </c>
      <c r="AU10" s="257">
        <v>1800</v>
      </c>
      <c r="AV10" s="257"/>
      <c r="AW10" s="257"/>
      <c r="AX10" s="257"/>
      <c r="AY10" s="257"/>
      <c r="AZ10" s="257"/>
      <c r="BA10" s="257"/>
      <c r="BB10" s="257"/>
      <c r="BC10" s="257"/>
      <c r="BD10" s="257"/>
      <c r="BE10" s="257">
        <v>10</v>
      </c>
      <c r="BF10" s="257" t="s">
        <v>428</v>
      </c>
      <c r="BG10" s="257"/>
      <c r="BH10" s="257"/>
    </row>
    <row r="11" spans="1:60" ht="15.75" thickBot="1" x14ac:dyDescent="0.3">
      <c r="A11" s="54" t="s">
        <v>397</v>
      </c>
      <c r="B11" s="55" t="b">
        <v>0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  <c r="AP11" s="263" t="s">
        <v>463</v>
      </c>
      <c r="AQ11" s="260">
        <v>44304</v>
      </c>
      <c r="AR11" s="261">
        <v>44308</v>
      </c>
      <c r="AS11" s="257">
        <v>15</v>
      </c>
      <c r="AT11" s="257" t="s">
        <v>427</v>
      </c>
      <c r="AU11" s="257">
        <v>1500</v>
      </c>
      <c r="AV11" s="257">
        <v>20</v>
      </c>
      <c r="AW11" s="257" t="s">
        <v>426</v>
      </c>
      <c r="AX11" s="257">
        <v>2875</v>
      </c>
      <c r="AY11" s="257"/>
      <c r="AZ11" s="257"/>
      <c r="BA11" s="257"/>
      <c r="BB11" s="257"/>
      <c r="BC11" s="257"/>
      <c r="BD11" s="257"/>
      <c r="BE11" s="257"/>
      <c r="BF11" s="257"/>
      <c r="BG11" s="257"/>
      <c r="BH11" s="257"/>
    </row>
    <row r="12" spans="1:60" ht="15.75" thickBot="1" x14ac:dyDescent="0.3">
      <c r="E12" s="675" t="s">
        <v>20</v>
      </c>
      <c r="F12" s="676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  <c r="AP12" s="263" t="s">
        <v>363</v>
      </c>
      <c r="AQ12" s="260">
        <v>44306</v>
      </c>
      <c r="AR12" s="261">
        <v>44309</v>
      </c>
      <c r="AS12" s="257">
        <v>20</v>
      </c>
      <c r="AT12" s="257" t="s">
        <v>427</v>
      </c>
      <c r="AU12" s="257">
        <v>1800</v>
      </c>
      <c r="AV12" s="257"/>
      <c r="AW12" s="257"/>
      <c r="AX12" s="257"/>
      <c r="AY12" s="257"/>
      <c r="AZ12" s="257"/>
      <c r="BA12" s="257"/>
      <c r="BB12" s="257"/>
      <c r="BC12" s="257"/>
      <c r="BD12" s="257"/>
      <c r="BE12" s="257">
        <v>10</v>
      </c>
      <c r="BF12" s="257" t="s">
        <v>427</v>
      </c>
      <c r="BG12" s="257"/>
      <c r="BH12" s="257"/>
    </row>
    <row r="13" spans="1:60" ht="15.75" thickBot="1" x14ac:dyDescent="0.3">
      <c r="A13" s="8" t="s">
        <v>84</v>
      </c>
      <c r="E13" s="21">
        <v>1</v>
      </c>
      <c r="F13" s="672" t="s">
        <v>38</v>
      </c>
      <c r="G13" s="23">
        <v>4</v>
      </c>
      <c r="H13" s="24"/>
      <c r="I13" s="25"/>
      <c r="J13" s="672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  <c r="AP13" s="263" t="s">
        <v>368</v>
      </c>
      <c r="AQ13" s="260">
        <v>44306</v>
      </c>
      <c r="AR13" s="261">
        <v>44310</v>
      </c>
      <c r="AS13" s="257">
        <v>25</v>
      </c>
      <c r="AT13" s="257" t="s">
        <v>428</v>
      </c>
      <c r="AU13" s="257">
        <v>3300</v>
      </c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7"/>
    </row>
    <row r="14" spans="1:60" ht="15.75" thickBot="1" x14ac:dyDescent="0.3">
      <c r="A14" s="54" t="s">
        <v>88</v>
      </c>
      <c r="B14" s="55" t="b">
        <v>1</v>
      </c>
      <c r="E14" s="39">
        <v>2</v>
      </c>
      <c r="F14" s="673"/>
      <c r="G14" s="35">
        <v>6</v>
      </c>
      <c r="H14" s="36"/>
      <c r="I14" s="37"/>
      <c r="J14" s="673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  <c r="AP14" s="263" t="s">
        <v>467</v>
      </c>
      <c r="AQ14" s="260">
        <v>44309</v>
      </c>
      <c r="AR14" s="261">
        <v>44311</v>
      </c>
      <c r="AS14" s="257">
        <v>15</v>
      </c>
      <c r="AT14" s="257" t="s">
        <v>428</v>
      </c>
      <c r="AU14" s="257">
        <v>140</v>
      </c>
      <c r="AV14" s="257"/>
      <c r="AW14" s="257"/>
      <c r="AX14" s="257"/>
      <c r="AY14" s="257"/>
      <c r="AZ14" s="257"/>
      <c r="BA14" s="257"/>
      <c r="BB14" s="257"/>
      <c r="BC14" s="257"/>
      <c r="BD14" s="257"/>
      <c r="BE14" s="257">
        <v>5</v>
      </c>
      <c r="BF14" s="257" t="s">
        <v>428</v>
      </c>
      <c r="BG14" s="257"/>
      <c r="BH14" s="257"/>
    </row>
    <row r="15" spans="1:60" x14ac:dyDescent="0.25">
      <c r="E15" s="39">
        <v>3</v>
      </c>
      <c r="F15" s="673"/>
      <c r="G15" s="35"/>
      <c r="H15" s="36">
        <v>2</v>
      </c>
      <c r="I15" s="37"/>
      <c r="J15" s="673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  <c r="AP15" s="263" t="s">
        <v>358</v>
      </c>
      <c r="AQ15" s="260">
        <v>44309</v>
      </c>
      <c r="AR15" s="261">
        <v>44312</v>
      </c>
      <c r="AS15" s="257">
        <v>15</v>
      </c>
      <c r="AT15" s="257" t="s">
        <v>425</v>
      </c>
      <c r="AU15" s="257">
        <v>1400</v>
      </c>
      <c r="AV15" s="257">
        <v>20</v>
      </c>
      <c r="AW15" s="257" t="s">
        <v>426</v>
      </c>
      <c r="AX15" s="257">
        <v>3000</v>
      </c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</row>
    <row r="16" spans="1:60" x14ac:dyDescent="0.25">
      <c r="A16" s="8" t="s">
        <v>95</v>
      </c>
      <c r="E16" s="39">
        <v>4</v>
      </c>
      <c r="F16" s="673"/>
      <c r="G16" s="35"/>
      <c r="H16" s="36">
        <v>2</v>
      </c>
      <c r="I16" s="37"/>
      <c r="J16" s="673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  <c r="AP16" s="263" t="s">
        <v>375</v>
      </c>
      <c r="AQ16" s="260">
        <v>44310</v>
      </c>
      <c r="AR16" s="261">
        <v>44313</v>
      </c>
      <c r="AS16" s="257">
        <v>15</v>
      </c>
      <c r="AT16" s="257" t="s">
        <v>425</v>
      </c>
      <c r="AU16" s="257">
        <v>2050</v>
      </c>
      <c r="AV16" s="257"/>
      <c r="AW16" s="257"/>
      <c r="AX16" s="257"/>
      <c r="AY16" s="257"/>
      <c r="AZ16" s="257"/>
      <c r="BA16" s="257"/>
      <c r="BB16" s="257"/>
      <c r="BC16" s="257"/>
      <c r="BD16" s="257"/>
      <c r="BE16" s="257">
        <v>10</v>
      </c>
      <c r="BF16" s="257" t="s">
        <v>425</v>
      </c>
      <c r="BG16" s="257"/>
      <c r="BH16" s="257"/>
    </row>
    <row r="17" spans="1:60" x14ac:dyDescent="0.25">
      <c r="A17" s="54" t="s">
        <v>99</v>
      </c>
      <c r="B17" s="55" t="b">
        <v>1</v>
      </c>
      <c r="E17" s="39">
        <v>5</v>
      </c>
      <c r="F17" s="673"/>
      <c r="G17" s="35"/>
      <c r="H17" s="36">
        <v>5</v>
      </c>
      <c r="I17" s="37"/>
      <c r="J17" s="673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  <c r="AP17" s="263" t="s">
        <v>464</v>
      </c>
      <c r="AQ17" s="260">
        <v>44310</v>
      </c>
      <c r="AR17" s="261">
        <v>44315</v>
      </c>
      <c r="AS17" s="257">
        <v>20</v>
      </c>
      <c r="AT17" s="257" t="s">
        <v>427</v>
      </c>
      <c r="AU17" s="257">
        <v>950</v>
      </c>
      <c r="AV17" s="257">
        <v>15</v>
      </c>
      <c r="AW17" s="257" t="s">
        <v>428</v>
      </c>
      <c r="AX17" s="257">
        <v>2150</v>
      </c>
      <c r="AY17" s="257">
        <v>15</v>
      </c>
      <c r="AZ17" s="257" t="s">
        <v>425</v>
      </c>
      <c r="BA17" s="257">
        <v>3625</v>
      </c>
      <c r="BB17" s="257"/>
      <c r="BC17" s="257"/>
      <c r="BD17" s="257"/>
      <c r="BE17" s="257"/>
      <c r="BF17" s="257"/>
      <c r="BG17" s="257"/>
      <c r="BH17" s="257"/>
    </row>
    <row r="18" spans="1:60" ht="15.75" thickBot="1" x14ac:dyDescent="0.3">
      <c r="A18" s="54" t="s">
        <v>103</v>
      </c>
      <c r="B18" s="55" t="b">
        <v>1</v>
      </c>
      <c r="E18" s="50">
        <v>6</v>
      </c>
      <c r="F18" s="674"/>
      <c r="G18" s="47"/>
      <c r="H18" s="48">
        <v>6</v>
      </c>
      <c r="I18" s="49"/>
      <c r="J18" s="674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  <c r="AP18" s="263" t="s">
        <v>465</v>
      </c>
      <c r="AQ18" s="260">
        <v>44311</v>
      </c>
      <c r="AR18" s="261">
        <v>44314</v>
      </c>
      <c r="AS18" s="257">
        <v>15</v>
      </c>
      <c r="AT18" s="257" t="s">
        <v>425</v>
      </c>
      <c r="AU18" s="257">
        <v>3300</v>
      </c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</row>
    <row r="19" spans="1:6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  <c r="AP19" s="263" t="s">
        <v>360</v>
      </c>
      <c r="AQ19" s="260">
        <v>44311</v>
      </c>
      <c r="AR19" s="261">
        <v>44314</v>
      </c>
      <c r="AS19" s="257">
        <v>15</v>
      </c>
      <c r="AT19" s="257" t="s">
        <v>426</v>
      </c>
      <c r="AU19" s="257">
        <v>2125</v>
      </c>
      <c r="AV19" s="257">
        <v>20</v>
      </c>
      <c r="AW19" s="257" t="s">
        <v>427</v>
      </c>
      <c r="AX19" s="257">
        <v>4200</v>
      </c>
      <c r="AY19" s="257"/>
      <c r="AZ19" s="257"/>
      <c r="BA19" s="257"/>
      <c r="BB19" s="257"/>
      <c r="BC19" s="257"/>
      <c r="BD19" s="257"/>
      <c r="BE19" s="257">
        <v>10</v>
      </c>
      <c r="BF19" s="257" t="s">
        <v>427</v>
      </c>
      <c r="BG19" s="257">
        <v>5</v>
      </c>
      <c r="BH19" s="257" t="s">
        <v>426</v>
      </c>
    </row>
    <row r="20" spans="1:60" ht="15.75" thickBot="1" x14ac:dyDescent="0.3">
      <c r="A20" s="54" t="s">
        <v>111</v>
      </c>
      <c r="B20" s="55" t="b">
        <v>1</v>
      </c>
      <c r="C20" s="3" t="s">
        <v>112</v>
      </c>
      <c r="E20" s="675" t="s">
        <v>21</v>
      </c>
      <c r="F20" s="676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60" x14ac:dyDescent="0.25">
      <c r="A21" s="54" t="s">
        <v>116</v>
      </c>
      <c r="B21" s="55" t="b">
        <v>1</v>
      </c>
      <c r="E21" s="21">
        <v>1</v>
      </c>
      <c r="F21" s="672" t="s">
        <v>38</v>
      </c>
      <c r="G21" s="23"/>
      <c r="H21" s="24">
        <v>4</v>
      </c>
      <c r="I21" s="25"/>
      <c r="J21" s="672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60" x14ac:dyDescent="0.25">
      <c r="A22" s="54" t="s">
        <v>121</v>
      </c>
      <c r="B22" t="s">
        <v>122</v>
      </c>
      <c r="E22" s="39">
        <v>2</v>
      </c>
      <c r="F22" s="673"/>
      <c r="G22" s="35"/>
      <c r="H22" s="36">
        <v>7</v>
      </c>
      <c r="I22" s="37"/>
      <c r="J22" s="673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60" ht="15.75" thickBot="1" x14ac:dyDescent="0.3">
      <c r="E23" s="39">
        <v>3</v>
      </c>
      <c r="F23" s="673"/>
      <c r="G23" s="35"/>
      <c r="H23" s="36">
        <v>9</v>
      </c>
      <c r="I23" s="37"/>
      <c r="J23" s="673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60" ht="15.75" thickBot="1" x14ac:dyDescent="0.3">
      <c r="A24" s="8" t="s">
        <v>129</v>
      </c>
      <c r="E24" s="39">
        <v>4</v>
      </c>
      <c r="F24" s="673"/>
      <c r="G24" s="35"/>
      <c r="H24" s="36"/>
      <c r="I24" s="37">
        <v>3</v>
      </c>
      <c r="J24" s="673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60" x14ac:dyDescent="0.25">
      <c r="A25" s="54" t="s">
        <v>398</v>
      </c>
      <c r="B25" t="s">
        <v>133</v>
      </c>
      <c r="E25" s="39">
        <v>5</v>
      </c>
      <c r="F25" s="673"/>
      <c r="G25" s="35"/>
      <c r="H25" s="36"/>
      <c r="I25" s="37">
        <v>3</v>
      </c>
      <c r="J25" s="673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60" ht="15.75" thickBot="1" x14ac:dyDescent="0.3">
      <c r="A26" s="54" t="s">
        <v>399</v>
      </c>
      <c r="B26" t="s">
        <v>137</v>
      </c>
      <c r="E26" s="50">
        <v>6</v>
      </c>
      <c r="F26" s="674"/>
      <c r="G26" s="47"/>
      <c r="H26" s="48"/>
      <c r="I26" s="49">
        <v>4</v>
      </c>
      <c r="J26" s="674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6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60" ht="15.75" thickBot="1" x14ac:dyDescent="0.3">
      <c r="A28" s="254" t="s">
        <v>429</v>
      </c>
      <c r="E28" s="675" t="s">
        <v>117</v>
      </c>
      <c r="F28" s="676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60" x14ac:dyDescent="0.25">
      <c r="A29" s="54" t="s">
        <v>430</v>
      </c>
      <c r="B29" s="6" t="s">
        <v>427</v>
      </c>
      <c r="C29" s="6"/>
      <c r="E29" s="21">
        <v>1</v>
      </c>
      <c r="F29" s="672" t="s">
        <v>38</v>
      </c>
      <c r="G29" s="23"/>
      <c r="H29" s="24"/>
      <c r="I29" s="25">
        <v>1</v>
      </c>
      <c r="J29" s="672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60" x14ac:dyDescent="0.25">
      <c r="A30" s="54" t="s">
        <v>431</v>
      </c>
      <c r="B30" s="6" t="s">
        <v>428</v>
      </c>
      <c r="C30" s="6"/>
      <c r="E30" s="39">
        <v>2</v>
      </c>
      <c r="F30" s="673"/>
      <c r="G30" s="35"/>
      <c r="H30" s="36"/>
      <c r="I30" s="37">
        <v>2</v>
      </c>
      <c r="J30" s="673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60" x14ac:dyDescent="0.25">
      <c r="A31" s="54" t="s">
        <v>432</v>
      </c>
      <c r="B31" s="6" t="s">
        <v>425</v>
      </c>
      <c r="C31" s="6"/>
      <c r="E31" s="39">
        <v>3</v>
      </c>
      <c r="F31" s="673"/>
      <c r="G31" s="35"/>
      <c r="H31" s="36"/>
      <c r="I31" s="37">
        <v>3</v>
      </c>
      <c r="J31" s="673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60" x14ac:dyDescent="0.25">
      <c r="A32" s="54" t="s">
        <v>433</v>
      </c>
      <c r="B32" s="6" t="s">
        <v>426</v>
      </c>
      <c r="C32" s="6"/>
      <c r="E32" s="39">
        <v>4</v>
      </c>
      <c r="F32" s="673"/>
      <c r="G32" s="35"/>
      <c r="H32" s="36"/>
      <c r="I32" s="37">
        <v>4</v>
      </c>
      <c r="J32" s="673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73"/>
      <c r="G33" s="35"/>
      <c r="H33" s="36"/>
      <c r="I33" s="37">
        <v>5</v>
      </c>
      <c r="J33" s="673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74"/>
      <c r="G34" s="47"/>
      <c r="H34" s="48"/>
      <c r="I34" s="49">
        <v>6</v>
      </c>
      <c r="J34" s="674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  <mergeCell ref="F29:F34"/>
    <mergeCell ref="J29:J34"/>
    <mergeCell ref="F21:F26"/>
    <mergeCell ref="J21:J26"/>
    <mergeCell ref="E12:F12"/>
    <mergeCell ref="F13:F18"/>
    <mergeCell ref="J13:J18"/>
    <mergeCell ref="E20:F20"/>
  </mergeCells>
  <phoneticPr fontId="49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211</vt:i4>
      </vt:variant>
    </vt:vector>
  </HeadingPairs>
  <TitlesOfParts>
    <vt:vector size="213" baseType="lpstr">
      <vt:lpstr>Hybrid Fusion</vt:lpstr>
      <vt:lpstr>Variables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FF_Faction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2021-04-26T02:42:26Z</dcterms:modified>
</cp:coreProperties>
</file>