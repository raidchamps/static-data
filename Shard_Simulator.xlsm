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Raid Shadow Legends\Chris Marabate's Website\Shard Simulator\"/>
    </mc:Choice>
  </mc:AlternateContent>
  <xr:revisionPtr revIDLastSave="0" documentId="13_ncr:1_{1D966E4F-CAF8-4440-BD09-7933D9BBB479}" xr6:coauthVersionLast="45" xr6:coauthVersionMax="45" xr10:uidLastSave="{00000000-0000-0000-0000-000000000000}"/>
  <bookViews>
    <workbookView xWindow="-120" yWindow="-120" windowWidth="20730" windowHeight="11160" tabRatio="580" xr2:uid="{00000000-000D-0000-FFFF-FFFF00000000}"/>
  </bookViews>
  <sheets>
    <sheet name="Shard Draw" sheetId="6" r:id="rId1"/>
    <sheet name="Variables" sheetId="2" state="veryHidden" r:id="rId2"/>
  </sheets>
  <functionGroups builtInGroupCount="19"/>
  <definedNames>
    <definedName name="Epic_Affinity_Greater">Variables!$H$21:$H$26</definedName>
    <definedName name="Epic_Affinity_Lesser">Variables!$G$21:$G$26</definedName>
    <definedName name="Epic_Affinity_Superior">Variables!$I$21:$I$26</definedName>
    <definedName name="Epic_Arcane_Greater">Variables!$L$21:$L$26</definedName>
    <definedName name="Epic_Arcane_Lesser">Variables!$K$21:$K$26</definedName>
    <definedName name="Epic_Arcane_Superior">Variables!$M$21:$M$26</definedName>
    <definedName name="HF_EC_Abbrev1">Variables!$B$29</definedName>
    <definedName name="HF_EC_Abbrev2">Variables!$B$30</definedName>
    <definedName name="HF_EC_Abbrev3">Variables!$B$31</definedName>
    <definedName name="HF_EC_Abbrev4">Variables!$B$32</definedName>
    <definedName name="Legend_Affinity_Greater">Variables!$H$29:$H$34</definedName>
    <definedName name="Legend_Affinity_Lesser">Variables!$G$29:$G$34</definedName>
    <definedName name="Legend_Affinity_Superior">Variables!$I$29:$I$34</definedName>
    <definedName name="Legend_Arcane_Greater">Variables!$L$29:$L$34</definedName>
    <definedName name="Legend_Arcane_Lesser">Variables!$K$29:$K$34</definedName>
    <definedName name="Legend_Arcane_Superior">Variables!$M$29:$M$34</definedName>
    <definedName name="Rare_Affinity_Greater">Variables!$H$13:$H$18</definedName>
    <definedName name="Rare_Affinity_Lesser">Variables!$G$13:$G$18</definedName>
    <definedName name="Rare_Affinity_Superior">Variables!$I$13:$I$18</definedName>
    <definedName name="Rare_Arcane_Greater">Variables!$L$13:$L$18</definedName>
    <definedName name="Rare_Arcane_Lesser">Variables!$K$13:$K$18</definedName>
    <definedName name="Rare_Arcane_Superior">Variables!$M$13:$M$18</definedName>
    <definedName name="SD_10x_Affinity">'Shard Draw'!$D$11:$D$25</definedName>
    <definedName name="SD_10x_Champions">'Shard Draw'!$B$11:$B$25</definedName>
    <definedName name="SD_10x_Type">'Shard Draw'!$C$11:$C$25</definedName>
    <definedName name="SD_2x_Ancient">'Shard Draw'!$D$6</definedName>
    <definedName name="SD_2x_Sacred">'Shard Draw'!$D$8</definedName>
    <definedName name="SD_2x_Void">'Shard Draw'!$D$7</definedName>
    <definedName name="SD_All_Exclusions">Variables!$BR$4:$BR$23</definedName>
    <definedName name="SD_All_Exclusions_Affinity">Variables!$BT$4:$BT$23</definedName>
    <definedName name="SD_All_Exclusions_Rarity">Variables!$BS$4:$BS$23</definedName>
    <definedName name="SD_Ancient">'Shard Draw'!$C$6</definedName>
    <definedName name="SD_Ancient_Activate_Epic">'Shard Draw'!$G$20</definedName>
    <definedName name="SD_Ancient_Activate_Legendary">'Shard Draw'!$H$20</definedName>
    <definedName name="SD_Ancient_Count_Since_Epic">'Shard Draw'!$K$20</definedName>
    <definedName name="SD_Ancient_Count_Since_Legendary">'Shard Draw'!$L$20</definedName>
    <definedName name="SD_Ancient_Epic_Odds">'Shard Draw'!$K$6</definedName>
    <definedName name="SD_Ancient_Increase_Epic">'Shard Draw'!$I$20</definedName>
    <definedName name="SD_Ancient_Increase_Legendary">'Shard Draw'!$J$20</definedName>
    <definedName name="SD_Ancient_Legendary_Odds">'Shard Draw'!$L$6</definedName>
    <definedName name="SD_Ancient_Rare_Odds">'Shard Draw'!$J$6</definedName>
    <definedName name="SD_Mystery">'Shard Draw'!$C$5</definedName>
    <definedName name="SD_Mystery_Rare_Odds">'Shard Draw'!$J$5</definedName>
    <definedName name="SD_Sacred">'Shard Draw'!$C$8</definedName>
    <definedName name="SD_Sacred_Activate_Legendary">'Shard Draw'!$H$22</definedName>
    <definedName name="SD_Sacred_Count_Since_Legendary">'Shard Draw'!$L$22</definedName>
    <definedName name="SD_Sacred_Epic_Odds">'Shard Draw'!$K$8</definedName>
    <definedName name="SD_Sacred_Exclusions">Variables!$BN$4:$BN$18</definedName>
    <definedName name="SD_Sacred_Exclusions_Affinity">Variables!$BP$4:$BP$18</definedName>
    <definedName name="SD_Sacred_Exclusions_Rarity">Variables!$BO$4:$BO$18</definedName>
    <definedName name="SD_Sacred_Increase_Legendary">'Shard Draw'!$J$22</definedName>
    <definedName name="SD_Sacred_Legendary_Odds">'Shard Draw'!$L$8</definedName>
    <definedName name="SD_Sacred_Rare_Odds">'Shard Draw'!$J$8</definedName>
    <definedName name="SD_Void">'Shard Draw'!$C$7</definedName>
    <definedName name="SD_Void_Activate_Epic">'Shard Draw'!$G$21</definedName>
    <definedName name="SD_Void_Activate_Legendary">'Shard Draw'!$H$21</definedName>
    <definedName name="SD_Void_Count_Since_Epic">'Shard Draw'!$K$21</definedName>
    <definedName name="SD_Void_Count_Since_Legendary">'Shard Draw'!$L$21</definedName>
    <definedName name="SD_Void_Epic_Odds">'Shard Draw'!$K$7</definedName>
    <definedName name="SD_Void_Increase_Epic">'Shard Draw'!$I$21</definedName>
    <definedName name="SD_Void_Increase_Legendary">'Shard Draw'!$J$21</definedName>
    <definedName name="SD_Void_Legendary_Odds">'Shard Draw'!$L$7</definedName>
    <definedName name="SD_Void_Rare_Odds">'Shard Draw'!$J$7</definedName>
    <definedName name="SD10x_Champions">'Shard Draw'!$B$11:$B$25</definedName>
    <definedName name="SD10x_Type">'Shard Draw'!$C$11:$C$25</definedName>
    <definedName name="Uncommon_Affinity_Greater">Variables!$H$5:$H$10</definedName>
    <definedName name="Uncommon_Affinity_Lesser">Variables!$G$5:$G$10</definedName>
    <definedName name="Uncommon_Affinity_Superior">Variables!$I$5:$I$10</definedName>
    <definedName name="Uncommon_Arcane_Greater">Variables!$L$5:$L$10</definedName>
    <definedName name="Uncommon_Arcane_Lesser">Variables!$K$5:$K$10</definedName>
    <definedName name="Uncommon_Arcane_Superior">Variables!$M$5:$M$10</definedName>
    <definedName name="V_CF_Ascension_Clear4">Variables!$B$25</definedName>
    <definedName name="V_CF_Ascension_Clear5">Variables!$B$26</definedName>
    <definedName name="V_CF_Dropdown_Epic">Variables!$P$5:$P$95</definedName>
    <definedName name="V_CF_Dropdown_Rare">Variables!$O$5:$O$75</definedName>
    <definedName name="V_DB_Ayumilove">Variables!$B$18</definedName>
    <definedName name="V_DB_Datamine">Variables!$B$20</definedName>
    <definedName name="V_DB_HellHadesTierList">Variables!$B$17</definedName>
    <definedName name="V_DB_MyChampions_Rebuild">Variables!$B$22</definedName>
    <definedName name="V_DB_RaidExtractor">Variables!$B$21</definedName>
    <definedName name="V_DB_Thumbnails">Variables!$B$19</definedName>
    <definedName name="V_Display_FormulaBar">Variables!$B$8</definedName>
    <definedName name="V_Display_Gridlines">Variables!$B$11</definedName>
    <definedName name="V_Display_Headings">Variables!$B$10</definedName>
    <definedName name="V_Display_Ribbon">Variables!$B$7</definedName>
    <definedName name="V_Display_WorkbookTabs">Variables!$B$9</definedName>
    <definedName name="V_Energy_Boss">Variables!$AB$5:$AB$8</definedName>
    <definedName name="V_Energy_Map">Variables!$Z$5:$Z$8</definedName>
    <definedName name="V_Energy_Regular">Variables!$AA$5:$AA$8</definedName>
    <definedName name="V_Farming_Level">Variables!$AD$5:$AD$88</definedName>
    <definedName name="V_Lvl10">Variables!$R$5:$R$13</definedName>
    <definedName name="V_Lvl20">Variables!$R$5:$R$23</definedName>
    <definedName name="V_Lvl30">Variables!$R$5:$R$33</definedName>
    <definedName name="V_Lvl40">Variables!$R$5:$R$43</definedName>
    <definedName name="V_Lvl50">Variables!$R$5:$R$53</definedName>
    <definedName name="V_Lvl60">Variables!$R$5:$R$63</definedName>
    <definedName name="V_ProgrammerMode">Variables!$B$14</definedName>
    <definedName name="V_Silver_Brutal">Variables!$AM$5:$AM$88</definedName>
    <definedName name="V_Silver_Hard">Variables!$AL$5:$AL$88</definedName>
    <definedName name="V_Silver_Nightmare">Variables!$AN$5:$AN$88</definedName>
    <definedName name="V_Silver_Normal">Variables!$AK$5:$AK$88</definedName>
    <definedName name="V_Thumbnails">Variables!$B$19</definedName>
    <definedName name="V_XP_1Star">Variables!$S$5:$S$14</definedName>
    <definedName name="V_XP_2Star">Variables!$T$5:$T$24</definedName>
    <definedName name="V_XP_3Star">Variables!$U$5:$U$34</definedName>
    <definedName name="V_XP_4Star">Variables!$V$5:$V$44</definedName>
    <definedName name="V_XP_5Star">Variables!$W$5:$W$54</definedName>
    <definedName name="V_XP_6Star">Variables!$X$5:$X$64</definedName>
    <definedName name="V_XP_Brutal">Variables!$AG$5:$AG$88</definedName>
    <definedName name="V_XP_Hard">Variables!$AF$5:$AF$88</definedName>
    <definedName name="V_XP_Nightmare">Variables!$AH$5:$AH$88</definedName>
    <definedName name="V_XP_Normal">Variables!$AE$5:$AE$88</definedName>
    <definedName name="vertex42_copyright" hidden="1">"© 2006-2018 Vertex42 LLC"</definedName>
    <definedName name="vertex42_id" hidden="1">"gantt-chart_L.xlsx"</definedName>
    <definedName name="vertex42_title" hidden="1">"Gantt Chart Template"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T23" i="2" l="1"/>
  <c r="BS23" i="2"/>
  <c r="BT22" i="2"/>
  <c r="BS22" i="2"/>
  <c r="BT21" i="2"/>
  <c r="BS21" i="2"/>
  <c r="BT20" i="2"/>
  <c r="BS20" i="2"/>
  <c r="BT19" i="2"/>
  <c r="BS19" i="2"/>
  <c r="BT18" i="2"/>
  <c r="BS18" i="2"/>
  <c r="BT17" i="2"/>
  <c r="BS17" i="2"/>
  <c r="BT16" i="2"/>
  <c r="BS16" i="2"/>
  <c r="BT15" i="2"/>
  <c r="BS15" i="2"/>
  <c r="BT14" i="2"/>
  <c r="BS14" i="2"/>
  <c r="BT13" i="2"/>
  <c r="BS13" i="2"/>
  <c r="BT12" i="2"/>
  <c r="BS12" i="2"/>
  <c r="BT11" i="2"/>
  <c r="BS11" i="2"/>
  <c r="BT10" i="2"/>
  <c r="BS10" i="2"/>
  <c r="BT9" i="2"/>
  <c r="BS9" i="2"/>
  <c r="BT8" i="2"/>
  <c r="BS8" i="2"/>
  <c r="BT7" i="2"/>
  <c r="BS7" i="2"/>
  <c r="BT6" i="2"/>
  <c r="BS6" i="2"/>
  <c r="BT5" i="2"/>
  <c r="BS5" i="2"/>
  <c r="BT4" i="2"/>
  <c r="BS4" i="2"/>
  <c r="BP18" i="2"/>
  <c r="BO18" i="2"/>
  <c r="BP17" i="2"/>
  <c r="BO17" i="2"/>
  <c r="BP16" i="2"/>
  <c r="BO16" i="2"/>
  <c r="BP15" i="2"/>
  <c r="BO15" i="2"/>
  <c r="BP14" i="2"/>
  <c r="BO14" i="2"/>
  <c r="BP13" i="2"/>
  <c r="BO13" i="2"/>
  <c r="BP12" i="2"/>
  <c r="BO12" i="2"/>
  <c r="BP11" i="2"/>
  <c r="BO11" i="2"/>
  <c r="BP10" i="2"/>
  <c r="BO10" i="2"/>
  <c r="BP9" i="2"/>
  <c r="BO9" i="2"/>
  <c r="BP8" i="2"/>
  <c r="BO8" i="2"/>
  <c r="BP7" i="2"/>
  <c r="BO7" i="2"/>
  <c r="BP6" i="2"/>
  <c r="BO6" i="2"/>
  <c r="BP5" i="2"/>
  <c r="BO5" i="2"/>
  <c r="BP4" i="2"/>
  <c r="BO4" i="2"/>
  <c r="I8" i="6" l="1"/>
  <c r="H6" i="6"/>
  <c r="G6" i="6"/>
  <c r="I6" i="6"/>
  <c r="H8" i="6"/>
  <c r="D25" i="6"/>
  <c r="C25" i="6"/>
  <c r="D24" i="6"/>
  <c r="C24" i="6"/>
  <c r="D23" i="6"/>
  <c r="C23" i="6"/>
  <c r="D22" i="6"/>
  <c r="C22" i="6"/>
  <c r="D21" i="6"/>
  <c r="C21" i="6"/>
  <c r="D20" i="6"/>
  <c r="C20" i="6"/>
  <c r="D19" i="6"/>
  <c r="C19" i="6"/>
  <c r="D18" i="6"/>
  <c r="C18" i="6"/>
  <c r="D17" i="6"/>
  <c r="C17" i="6"/>
  <c r="D16" i="6"/>
  <c r="C16" i="6"/>
  <c r="D15" i="6"/>
  <c r="C15" i="6"/>
  <c r="D14" i="6"/>
  <c r="C14" i="6"/>
  <c r="D13" i="6"/>
  <c r="C13" i="6"/>
  <c r="D12" i="6"/>
  <c r="C12" i="6"/>
  <c r="D11" i="6"/>
  <c r="C11" i="6"/>
  <c r="I7" i="6"/>
  <c r="H7" i="6"/>
  <c r="G7" i="6"/>
  <c r="P3" i="6"/>
  <c r="O3" i="6"/>
  <c r="H15" i="6" l="1"/>
  <c r="K15" i="6" s="1"/>
  <c r="G14" i="6"/>
  <c r="I14" i="6"/>
  <c r="L14" i="6" s="1"/>
  <c r="I13" i="6"/>
  <c r="L13" i="6" s="1"/>
  <c r="G13" i="6"/>
  <c r="H14" i="6"/>
  <c r="K14" i="6" s="1"/>
  <c r="H13" i="6"/>
  <c r="K13" i="6" s="1"/>
  <c r="I15" i="6"/>
  <c r="L15" i="6" s="1"/>
  <c r="L8" i="6"/>
  <c r="K8" i="6" s="1"/>
  <c r="L7" i="6"/>
  <c r="K7" i="6"/>
  <c r="L6" i="6"/>
  <c r="K6" i="6"/>
  <c r="J6" i="6" l="1"/>
  <c r="J7" i="6"/>
  <c r="G12" i="6" l="1"/>
  <c r="G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Monty</author>
  </authors>
  <commentList>
    <comment ref="J10" authorId="0" shapeId="0" xr:uid="{4815FA8A-F078-4227-87E5-5D44A4731EAD}">
      <text>
        <r>
          <rPr>
            <b/>
            <u/>
            <sz val="9"/>
            <color indexed="81"/>
            <rFont val="Tahoma"/>
            <family val="2"/>
          </rPr>
          <t>Explanation</t>
        </r>
        <r>
          <rPr>
            <sz val="9"/>
            <color indexed="81"/>
            <rFont val="Tahoma"/>
            <family val="2"/>
          </rPr>
          <t xml:space="preserve">
These are the odds of pulling ANY x10 if an Epic or Legend are drawn. To get the odds of pulling the one you want, divide this number by the number of x10 Epics or Legends that could be pulled for that type of shard.
</t>
        </r>
        <r>
          <rPr>
            <b/>
            <sz val="9"/>
            <color indexed="81"/>
            <rFont val="Tahoma"/>
            <family val="2"/>
          </rPr>
          <t>Example</t>
        </r>
        <r>
          <rPr>
            <b/>
            <u/>
            <sz val="9"/>
            <color indexed="81"/>
            <rFont val="Tahoma"/>
            <family val="2"/>
          </rPr>
          <t xml:space="preserve">
</t>
        </r>
        <r>
          <rPr>
            <sz val="9"/>
            <color indexed="81"/>
            <rFont val="Tahoma"/>
            <family val="2"/>
          </rPr>
          <t xml:space="preserve">x10 Epic odds 18%, 3 possible x10 pics, odds of any specific one is 6%
</t>
        </r>
        <r>
          <rPr>
            <b/>
            <u/>
            <sz val="9"/>
            <color indexed="81"/>
            <rFont val="Tahoma"/>
            <family val="2"/>
          </rPr>
          <t>Chasing Void Champions in x10 events is viable</t>
        </r>
        <r>
          <rPr>
            <sz val="9"/>
            <color indexed="81"/>
            <rFont val="Tahoma"/>
            <family val="2"/>
          </rPr>
          <t xml:space="preserve">
The odds of pulling a target x10 Void are much better than other Affinities because of the smaller draw pool and the fact that there's usually only 1 x10 to pull. 
</t>
        </r>
        <r>
          <rPr>
            <b/>
            <sz val="9"/>
            <color indexed="81"/>
            <rFont val="Tahoma"/>
            <family val="2"/>
          </rPr>
          <t>Example</t>
        </r>
        <r>
          <rPr>
            <sz val="9"/>
            <color indexed="81"/>
            <rFont val="Tahoma"/>
            <family val="2"/>
          </rPr>
          <t xml:space="preserve">
x10 Event Legends = Tyrant Ixlimor (Magic), Elenaril (Magic), Trunda Giltmallet (Magic) and Khoronar (Void)
Once a Legendary had been pulled, odds of any non-Void x10 being selected were 18.5%, of any specific non-Void 6.16%. Odds of Khoronar being selected was 28.6%.
Of course the relevant odds of getting a Legendary in the first place must also be taken into account, its just that once a legendary has been pulled, the Void target odds are much better.</t>
        </r>
      </text>
    </comment>
  </commentList>
</comments>
</file>

<file path=xl/sharedStrings.xml><?xml version="1.0" encoding="utf-8"?>
<sst xmlns="http://schemas.openxmlformats.org/spreadsheetml/2006/main" count="2360" uniqueCount="933">
  <si>
    <t>Explanation of coloured backgrounds</t>
  </si>
  <si>
    <t>[Rarity]_Affinity_Lesser</t>
  </si>
  <si>
    <t>[Rarity]_Affinity_Greater</t>
  </si>
  <si>
    <t>[Rarity]_Affinity_Superior</t>
  </si>
  <si>
    <t>[Rarity]_Arcane_Lesser</t>
  </si>
  <si>
    <t>[Rarity]_Arcane_Greater</t>
  </si>
  <si>
    <t>[Rarity]_Arcane_Superior</t>
  </si>
  <si>
    <t/>
  </si>
  <si>
    <t>Named Range (single cell or table)</t>
  </si>
  <si>
    <t>Named Object (button, image etc)</t>
  </si>
  <si>
    <t>Ascension Potions</t>
  </si>
  <si>
    <t>Fusion Dropdowns</t>
  </si>
  <si>
    <t>XP Requirements to level up</t>
  </si>
  <si>
    <t>Energy Costs</t>
  </si>
  <si>
    <t>Xp Per Level</t>
  </si>
  <si>
    <t>Silver Per Level</t>
  </si>
  <si>
    <t>Uncommon</t>
  </si>
  <si>
    <t>Lesser</t>
  </si>
  <si>
    <t>Greater</t>
  </si>
  <si>
    <t>Superior</t>
  </si>
  <si>
    <t>Rare</t>
  </si>
  <si>
    <t>Epic</t>
  </si>
  <si>
    <t>LVL</t>
  </si>
  <si>
    <t>1 Star</t>
  </si>
  <si>
    <t>2 Star</t>
  </si>
  <si>
    <t>3 Star</t>
  </si>
  <si>
    <t>4 Star</t>
  </si>
  <si>
    <t>5 Star</t>
  </si>
  <si>
    <t>6 Star</t>
  </si>
  <si>
    <t>Map Lvl</t>
  </si>
  <si>
    <t>Regular</t>
  </si>
  <si>
    <t>Boss</t>
  </si>
  <si>
    <t>Stage</t>
  </si>
  <si>
    <t>Normal</t>
  </si>
  <si>
    <t>Hard</t>
  </si>
  <si>
    <t>Brutal</t>
  </si>
  <si>
    <t>Nightmare</t>
  </si>
  <si>
    <t>Affinity</t>
  </si>
  <si>
    <t>Arcane</t>
  </si>
  <si>
    <t>1-1</t>
  </si>
  <si>
    <t>40/40</t>
  </si>
  <si>
    <t>50/50</t>
  </si>
  <si>
    <t>1-2</t>
  </si>
  <si>
    <t>39/40</t>
  </si>
  <si>
    <t>49/50</t>
  </si>
  <si>
    <t>1-3</t>
  </si>
  <si>
    <t>38/40</t>
  </si>
  <si>
    <t>48/50</t>
  </si>
  <si>
    <t>1-4</t>
  </si>
  <si>
    <t>37/40</t>
  </si>
  <si>
    <t>47/50</t>
  </si>
  <si>
    <t>1-5</t>
  </si>
  <si>
    <t>36/40</t>
  </si>
  <si>
    <t>46/50</t>
  </si>
  <si>
    <t>1-6</t>
  </si>
  <si>
    <t>35/40</t>
  </si>
  <si>
    <t>45/50</t>
  </si>
  <si>
    <t>1-7</t>
  </si>
  <si>
    <t>34/40</t>
  </si>
  <si>
    <t>44/50</t>
  </si>
  <si>
    <t>2-1</t>
  </si>
  <si>
    <t>Display Management</t>
  </si>
  <si>
    <t>33/40</t>
  </si>
  <si>
    <t>43/50</t>
  </si>
  <si>
    <t>2-2</t>
  </si>
  <si>
    <t>32/40</t>
  </si>
  <si>
    <t>42/50</t>
  </si>
  <si>
    <t>2-3</t>
  </si>
  <si>
    <t>31/40</t>
  </si>
  <si>
    <t>41/50</t>
  </si>
  <si>
    <t>2-4</t>
  </si>
  <si>
    <t>30/40</t>
  </si>
  <si>
    <t>40/50</t>
  </si>
  <si>
    <t>2-5</t>
  </si>
  <si>
    <t>29/40</t>
  </si>
  <si>
    <t>39/50</t>
  </si>
  <si>
    <t>2-6</t>
  </si>
  <si>
    <t>28/40</t>
  </si>
  <si>
    <t>38/50</t>
  </si>
  <si>
    <t>2-7</t>
  </si>
  <si>
    <t>27/40</t>
  </si>
  <si>
    <t>37/50</t>
  </si>
  <si>
    <t>3-1</t>
  </si>
  <si>
    <t>Debugging</t>
  </si>
  <si>
    <t>26/40</t>
  </si>
  <si>
    <t>36/50</t>
  </si>
  <si>
    <t>3-2</t>
  </si>
  <si>
    <t>V_ProgrammerMode</t>
  </si>
  <si>
    <t>25/40</t>
  </si>
  <si>
    <t>35/50</t>
  </si>
  <si>
    <t>3-3</t>
  </si>
  <si>
    <t>24/40</t>
  </si>
  <si>
    <t>34/50</t>
  </si>
  <si>
    <t>3-4</t>
  </si>
  <si>
    <t>Databses Used</t>
  </si>
  <si>
    <t>23/40</t>
  </si>
  <si>
    <t>33/50</t>
  </si>
  <si>
    <t>3-5</t>
  </si>
  <si>
    <t>V_DB_HellHadesTierList</t>
  </si>
  <si>
    <t>22/40</t>
  </si>
  <si>
    <t>32/50</t>
  </si>
  <si>
    <t>3-6</t>
  </si>
  <si>
    <t>V_DB_Ayumilove</t>
  </si>
  <si>
    <t>21/40</t>
  </si>
  <si>
    <t>31/50</t>
  </si>
  <si>
    <t>3-7</t>
  </si>
  <si>
    <t>V_DB_Thumbnails</t>
  </si>
  <si>
    <t>20/40</t>
  </si>
  <si>
    <t>30/50</t>
  </si>
  <si>
    <t>4-1</t>
  </si>
  <si>
    <t>V_DB_Datamine</t>
  </si>
  <si>
    <t xml:space="preserve"> </t>
  </si>
  <si>
    <t>19/40</t>
  </si>
  <si>
    <t>29/50</t>
  </si>
  <si>
    <t>4-2</t>
  </si>
  <si>
    <t>V_DB_RaidExtractor</t>
  </si>
  <si>
    <t>Legend</t>
  </si>
  <si>
    <t>18/40</t>
  </si>
  <si>
    <t>28/50</t>
  </si>
  <si>
    <t>4-3</t>
  </si>
  <si>
    <t>V_DB_MyChampions_Rebuild</t>
  </si>
  <si>
    <t>Not Required</t>
  </si>
  <si>
    <t>17/40</t>
  </si>
  <si>
    <t>27/50</t>
  </si>
  <si>
    <t>4-4</t>
  </si>
  <si>
    <t>16/40</t>
  </si>
  <si>
    <t>26/50</t>
  </si>
  <si>
    <t>4-5</t>
  </si>
  <si>
    <t>Ascension (cleared data - used by macro)</t>
  </si>
  <si>
    <t>15/40</t>
  </si>
  <si>
    <t>25/50</t>
  </si>
  <si>
    <t>4-6</t>
  </si>
  <si>
    <t>✧✧✧✧</t>
  </si>
  <si>
    <t>14/40</t>
  </si>
  <si>
    <t>24/50</t>
  </si>
  <si>
    <t>4-7</t>
  </si>
  <si>
    <t>✧✧✧✧✧</t>
  </si>
  <si>
    <t>13/40</t>
  </si>
  <si>
    <t>23/50</t>
  </si>
  <si>
    <t>5-1</t>
  </si>
  <si>
    <t>12/40</t>
  </si>
  <si>
    <t>22/50</t>
  </si>
  <si>
    <t>5-2</t>
  </si>
  <si>
    <t>11/40</t>
  </si>
  <si>
    <t>21/50</t>
  </si>
  <si>
    <t>5-3</t>
  </si>
  <si>
    <t>10/40</t>
  </si>
  <si>
    <t>20/50</t>
  </si>
  <si>
    <t>5-4</t>
  </si>
  <si>
    <t>9/40</t>
  </si>
  <si>
    <t>19/50</t>
  </si>
  <si>
    <t>5-5</t>
  </si>
  <si>
    <t>8/40</t>
  </si>
  <si>
    <t>18/50</t>
  </si>
  <si>
    <t>5-6</t>
  </si>
  <si>
    <t>7/40</t>
  </si>
  <si>
    <t>17/50</t>
  </si>
  <si>
    <t>5-7</t>
  </si>
  <si>
    <t>6/40</t>
  </si>
  <si>
    <t>16/50</t>
  </si>
  <si>
    <t>6-1</t>
  </si>
  <si>
    <t>5/40</t>
  </si>
  <si>
    <t>15/50</t>
  </si>
  <si>
    <t>6-2</t>
  </si>
  <si>
    <t>4/40</t>
  </si>
  <si>
    <t>14/50</t>
  </si>
  <si>
    <t>6-3</t>
  </si>
  <si>
    <t>3/40</t>
  </si>
  <si>
    <t>13/50</t>
  </si>
  <si>
    <t>6-4</t>
  </si>
  <si>
    <t>Ascension_4</t>
  </si>
  <si>
    <t>2/40</t>
  </si>
  <si>
    <t>12/50</t>
  </si>
  <si>
    <t>6-5</t>
  </si>
  <si>
    <t>1/40</t>
  </si>
  <si>
    <t>11/50</t>
  </si>
  <si>
    <t>6-6</t>
  </si>
  <si>
    <t>Ascension_5</t>
  </si>
  <si>
    <t>30/30</t>
  </si>
  <si>
    <t>10/50</t>
  </si>
  <si>
    <t>6-7</t>
  </si>
  <si>
    <t>29/30</t>
  </si>
  <si>
    <t>9/50</t>
  </si>
  <si>
    <t>7-1</t>
  </si>
  <si>
    <t>Ascension_6</t>
  </si>
  <si>
    <t>28/30</t>
  </si>
  <si>
    <t>8/50</t>
  </si>
  <si>
    <t>7-2</t>
  </si>
  <si>
    <t>27/30</t>
  </si>
  <si>
    <t>7/50</t>
  </si>
  <si>
    <t>7-3</t>
  </si>
  <si>
    <t>26/30</t>
  </si>
  <si>
    <t>6/50</t>
  </si>
  <si>
    <t>7-4</t>
  </si>
  <si>
    <t>25/30</t>
  </si>
  <si>
    <t>5/50</t>
  </si>
  <si>
    <t>7-5</t>
  </si>
  <si>
    <t>24/30</t>
  </si>
  <si>
    <t>4/50</t>
  </si>
  <si>
    <t>7-6</t>
  </si>
  <si>
    <t>23/30</t>
  </si>
  <si>
    <t>3/50</t>
  </si>
  <si>
    <t>7-7</t>
  </si>
  <si>
    <t>22/30</t>
  </si>
  <si>
    <t>2/50</t>
  </si>
  <si>
    <t>8-1</t>
  </si>
  <si>
    <t>21/30</t>
  </si>
  <si>
    <t>1/50</t>
  </si>
  <si>
    <t>8-2</t>
  </si>
  <si>
    <t>20/30</t>
  </si>
  <si>
    <t>8-3</t>
  </si>
  <si>
    <t>19/30</t>
  </si>
  <si>
    <t>8-4</t>
  </si>
  <si>
    <t>18/30</t>
  </si>
  <si>
    <t>8-5</t>
  </si>
  <si>
    <t>17/30</t>
  </si>
  <si>
    <t>8-6</t>
  </si>
  <si>
    <t>16/30</t>
  </si>
  <si>
    <t>8-7</t>
  </si>
  <si>
    <t>15/30</t>
  </si>
  <si>
    <t>9-1</t>
  </si>
  <si>
    <t>???</t>
  </si>
  <si>
    <t>14/30</t>
  </si>
  <si>
    <t>9-2</t>
  </si>
  <si>
    <t>13/30</t>
  </si>
  <si>
    <t>9-3</t>
  </si>
  <si>
    <t>12/30</t>
  </si>
  <si>
    <t>9-4</t>
  </si>
  <si>
    <t>11/30</t>
  </si>
  <si>
    <t>9-5</t>
  </si>
  <si>
    <t>10/30</t>
  </si>
  <si>
    <t>9-6</t>
  </si>
  <si>
    <t>9/30</t>
  </si>
  <si>
    <t>9-7</t>
  </si>
  <si>
    <t>8/30</t>
  </si>
  <si>
    <t>10-1</t>
  </si>
  <si>
    <t>7/30</t>
  </si>
  <si>
    <t>10-2</t>
  </si>
  <si>
    <t>6/30</t>
  </si>
  <si>
    <t>10-3</t>
  </si>
  <si>
    <t>5/30</t>
  </si>
  <si>
    <t>10-4</t>
  </si>
  <si>
    <t>4/30</t>
  </si>
  <si>
    <t>10-5</t>
  </si>
  <si>
    <t>3/30</t>
  </si>
  <si>
    <t>10-6</t>
  </si>
  <si>
    <t>2/30</t>
  </si>
  <si>
    <t>10-7</t>
  </si>
  <si>
    <t>1/30</t>
  </si>
  <si>
    <t>11-1</t>
  </si>
  <si>
    <t>11-2</t>
  </si>
  <si>
    <t>11-3</t>
  </si>
  <si>
    <t>11-4</t>
  </si>
  <si>
    <t>11-5</t>
  </si>
  <si>
    <t>11-6</t>
  </si>
  <si>
    <t>11-7</t>
  </si>
  <si>
    <t>12-1</t>
  </si>
  <si>
    <t>12-2</t>
  </si>
  <si>
    <t>12-3</t>
  </si>
  <si>
    <t>12-4</t>
  </si>
  <si>
    <t>12-5</t>
  </si>
  <si>
    <t>12-6</t>
  </si>
  <si>
    <t>12-7</t>
  </si>
  <si>
    <t>Legendary</t>
  </si>
  <si>
    <t>Force</t>
  </si>
  <si>
    <t>Spirit</t>
  </si>
  <si>
    <t>Magic</t>
  </si>
  <si>
    <t>Void</t>
  </si>
  <si>
    <t>Yoshi the Drunkard</t>
  </si>
  <si>
    <t>Start</t>
  </si>
  <si>
    <t>End</t>
  </si>
  <si>
    <t>V_Display_Ribbon</t>
  </si>
  <si>
    <t>V_Display_FormulaBar</t>
  </si>
  <si>
    <t>V_Display_WorkbookTabs</t>
  </si>
  <si>
    <t>V_Display_Headings</t>
  </si>
  <si>
    <t>V_Display_Gridlines</t>
  </si>
  <si>
    <t>V_CF_Ascension_Clear4</t>
  </si>
  <si>
    <t>V_CF_Ascension_Clear5</t>
  </si>
  <si>
    <t>V_Fusion_Dropdown_Rare</t>
  </si>
  <si>
    <t>V_Fustion_Dropdown_Epic</t>
  </si>
  <si>
    <t>V_XP_1Star</t>
  </si>
  <si>
    <t>V_XP_2Star</t>
  </si>
  <si>
    <t>V_XP_3Star</t>
  </si>
  <si>
    <t>V_XP_4Star</t>
  </si>
  <si>
    <t>V_XP_5Star</t>
  </si>
  <si>
    <t>V_XP_6Star</t>
  </si>
  <si>
    <t>V_Energy_Map</t>
  </si>
  <si>
    <t>V_Energy_Regular</t>
  </si>
  <si>
    <t>V_Energy_Boss</t>
  </si>
  <si>
    <t>V_Farming_Level</t>
  </si>
  <si>
    <t>V_XP_Normal</t>
  </si>
  <si>
    <t>V_XP_Hard</t>
  </si>
  <si>
    <t>V_XP_Brutal</t>
  </si>
  <si>
    <t>V_XP_Nightmare</t>
  </si>
  <si>
    <t>V_Silver_Normal</t>
  </si>
  <si>
    <t>V_Silver_Hard</t>
  </si>
  <si>
    <t>V_Silver_Brutal</t>
  </si>
  <si>
    <t>V_Silver_Nightmare</t>
  </si>
  <si>
    <t>Qty</t>
  </si>
  <si>
    <t>Champion</t>
  </si>
  <si>
    <t>Skimfos</t>
  </si>
  <si>
    <t>Mordecai</t>
  </si>
  <si>
    <t>Fenshi</t>
  </si>
  <si>
    <t>Giscard</t>
  </si>
  <si>
    <t>Hybrid Fusion Data</t>
  </si>
  <si>
    <t>HF_EC_Abbrev1</t>
  </si>
  <si>
    <t>HF_EC_Abbrev2</t>
  </si>
  <si>
    <t>HF_EC_Abbrev3</t>
  </si>
  <si>
    <t>HF_EC_Abbrev4</t>
  </si>
  <si>
    <t>Qty2</t>
  </si>
  <si>
    <t>Champion3</t>
  </si>
  <si>
    <t>Points4</t>
  </si>
  <si>
    <t>Qty5</t>
  </si>
  <si>
    <t>Champion6</t>
  </si>
  <si>
    <t>Event</t>
  </si>
  <si>
    <t>Qty1</t>
  </si>
  <si>
    <t>Champion1</t>
  </si>
  <si>
    <t>Points1</t>
  </si>
  <si>
    <t>Champion2</t>
  </si>
  <si>
    <t>Points2</t>
  </si>
  <si>
    <t>Qty3</t>
  </si>
  <si>
    <t>Points3</t>
  </si>
  <si>
    <t>Qty4</t>
  </si>
  <si>
    <t>Champion4</t>
  </si>
  <si>
    <t>Champion5</t>
  </si>
  <si>
    <t>Qty6</t>
  </si>
  <si>
    <t>Fusion_Event_List</t>
  </si>
  <si>
    <t>Fusion Event List</t>
  </si>
  <si>
    <t>Shard Draw Simulator</t>
  </si>
  <si>
    <t>Draw Results</t>
  </si>
  <si>
    <t>Rarity</t>
  </si>
  <si>
    <t>Spider</t>
  </si>
  <si>
    <t>1x or 2x Event</t>
  </si>
  <si>
    <t>Draw Pool</t>
  </si>
  <si>
    <t>Odds</t>
  </si>
  <si>
    <t>Vanguard</t>
  </si>
  <si>
    <t>Shard Type</t>
  </si>
  <si>
    <t>2x Event</t>
  </si>
  <si>
    <t>Harvester</t>
  </si>
  <si>
    <t>Mystery</t>
  </si>
  <si>
    <t>n/a</t>
  </si>
  <si>
    <t>Paragon</t>
  </si>
  <si>
    <t>Ancient</t>
  </si>
  <si>
    <t>Azure</t>
  </si>
  <si>
    <t>Drowned Bloatwraith</t>
  </si>
  <si>
    <t>Sacred</t>
  </si>
  <si>
    <t>Ifrit</t>
  </si>
  <si>
    <t>Suwai Firstborn</t>
  </si>
  <si>
    <t>10 x Event</t>
  </si>
  <si>
    <t>x 10   Event</t>
  </si>
  <si>
    <t>10 x Draw Pool</t>
  </si>
  <si>
    <t>Marquis</t>
  </si>
  <si>
    <t>Dilgol</t>
  </si>
  <si>
    <t>Basher</t>
  </si>
  <si>
    <t>Bulwark</t>
  </si>
  <si>
    <t>Fanatic</t>
  </si>
  <si>
    <t>Eviscerator</t>
  </si>
  <si>
    <t>Coldheart</t>
  </si>
  <si>
    <t>Mercy System</t>
  </si>
  <si>
    <t>Activation</t>
  </si>
  <si>
    <t>Increase</t>
  </si>
  <si>
    <t>Draws Since Last</t>
  </si>
  <si>
    <t>Draconis</t>
  </si>
  <si>
    <t>Arbalester</t>
  </si>
  <si>
    <t>Haruspex</t>
  </si>
  <si>
    <t>Pain Keeper</t>
  </si>
  <si>
    <t>Kurzad Deepheart</t>
  </si>
  <si>
    <t>Venus</t>
  </si>
  <si>
    <t>Sacred Exclusions</t>
  </si>
  <si>
    <t>Shaman</t>
  </si>
  <si>
    <t>Jizoh</t>
  </si>
  <si>
    <t>High Khatun</t>
  </si>
  <si>
    <t>Yaga the Insatiable</t>
  </si>
  <si>
    <t>Dark Athel</t>
  </si>
  <si>
    <t>Dark Elhain</t>
  </si>
  <si>
    <t>Lordly Legionary</t>
  </si>
  <si>
    <t>Scyl of the Drakes</t>
  </si>
  <si>
    <t>Tainix Hateflower</t>
  </si>
  <si>
    <t>Ghrush the Mangler</t>
  </si>
  <si>
    <t>All Shard Exclusions</t>
  </si>
  <si>
    <t>Lydia the Deathsiren</t>
  </si>
  <si>
    <t>Archmage Hellmut</t>
  </si>
  <si>
    <t>Akoth the Seared</t>
  </si>
  <si>
    <t>Rian the Conjurer</t>
  </si>
  <si>
    <t>Gomlok Skyhide</t>
  </si>
  <si>
    <t>Thea the Tomb Angel</t>
  </si>
  <si>
    <t>Urost the Soulcage</t>
  </si>
  <si>
    <t>Abbess</t>
  </si>
  <si>
    <t>Abyssal</t>
  </si>
  <si>
    <t>Achak the Wendarin</t>
  </si>
  <si>
    <t>Acolyte</t>
  </si>
  <si>
    <t>Adjudicator</t>
  </si>
  <si>
    <t>Admonitor</t>
  </si>
  <si>
    <t>Adriel</t>
  </si>
  <si>
    <t>Aina</t>
  </si>
  <si>
    <t>Alaric the Hooded</t>
  </si>
  <si>
    <t>Alika</t>
  </si>
  <si>
    <t>Altan</t>
  </si>
  <si>
    <t>Alure</t>
  </si>
  <si>
    <t>Amarantine Skeleton</t>
  </si>
  <si>
    <t>Anax</t>
  </si>
  <si>
    <t>Angar</t>
  </si>
  <si>
    <t>Anointed</t>
  </si>
  <si>
    <t>Aothar</t>
  </si>
  <si>
    <t>Aox the Rememberer</t>
  </si>
  <si>
    <t>Apothecary</t>
  </si>
  <si>
    <t>Broadmaw</t>
  </si>
  <si>
    <t>Arbiter</t>
  </si>
  <si>
    <t>Arcanist</t>
  </si>
  <si>
    <t>Archer</t>
  </si>
  <si>
    <t>Aristocrat</t>
  </si>
  <si>
    <t>Armiger</t>
  </si>
  <si>
    <t>Armina</t>
  </si>
  <si>
    <t>Astralith</t>
  </si>
  <si>
    <t>Astralon</t>
  </si>
  <si>
    <t>Athel</t>
  </si>
  <si>
    <t>Atur</t>
  </si>
  <si>
    <t>Avenger</t>
  </si>
  <si>
    <t>Avir the Alchemage</t>
  </si>
  <si>
    <t>Axeman</t>
  </si>
  <si>
    <t>Common</t>
  </si>
  <si>
    <t>Bad-el-Kazar</t>
  </si>
  <si>
    <t>Baerdal Fellhammer</t>
  </si>
  <si>
    <t>Balthus Drauglord</t>
  </si>
  <si>
    <t>Bandit</t>
  </si>
  <si>
    <t>Banshee</t>
  </si>
  <si>
    <t>Baron</t>
  </si>
  <si>
    <t>Baroth the Bloodsoaked</t>
  </si>
  <si>
    <t>Basileus Roanas</t>
  </si>
  <si>
    <t>Basilisk</t>
  </si>
  <si>
    <t>Battle Sister</t>
  </si>
  <si>
    <t>Battlesage</t>
  </si>
  <si>
    <t>Beast Wrestler</t>
  </si>
  <si>
    <t>Belanor</t>
  </si>
  <si>
    <t>Bellower</t>
  </si>
  <si>
    <t>Bergoth the Malformed</t>
  </si>
  <si>
    <t>Berserker</t>
  </si>
  <si>
    <t>Big 'Un</t>
  </si>
  <si>
    <t>Black Knight</t>
  </si>
  <si>
    <t>Blind Seer</t>
  </si>
  <si>
    <t>Bloodbraid</t>
  </si>
  <si>
    <t>Bloodfeather</t>
  </si>
  <si>
    <t>Rhazin Scarhide</t>
  </si>
  <si>
    <t>Bloodgorged</t>
  </si>
  <si>
    <t>Bloodhorn</t>
  </si>
  <si>
    <t>Bloodpainter</t>
  </si>
  <si>
    <t>Bogwalker</t>
  </si>
  <si>
    <t>Boltsmith</t>
  </si>
  <si>
    <t>Bombardier</t>
  </si>
  <si>
    <t>Bone Knight</t>
  </si>
  <si>
    <t>Bonekeeper</t>
  </si>
  <si>
    <t>Brakus the Shifter</t>
  </si>
  <si>
    <t>Brute</t>
  </si>
  <si>
    <t>Bully</t>
  </si>
  <si>
    <t>Bushi</t>
  </si>
  <si>
    <t>Bystophus</t>
  </si>
  <si>
    <t>Cagebreaker</t>
  </si>
  <si>
    <t>Candraphon</t>
  </si>
  <si>
    <t>Canoness</t>
  </si>
  <si>
    <t>Captain Temila</t>
  </si>
  <si>
    <t>Cardiel</t>
  </si>
  <si>
    <t>Cardinal</t>
  </si>
  <si>
    <t>Catacomb Councilor</t>
  </si>
  <si>
    <t>Cataphract</t>
  </si>
  <si>
    <t>Centurion</t>
  </si>
  <si>
    <t>Chancellor Yasmin</t>
  </si>
  <si>
    <t>Channeler</t>
  </si>
  <si>
    <t>Chaplain</t>
  </si>
  <si>
    <t>Chemist</t>
  </si>
  <si>
    <t>Chevalier</t>
  </si>
  <si>
    <t>Chopper</t>
  </si>
  <si>
    <t>Cillian the Lucky</t>
  </si>
  <si>
    <t>Coffin Smasher</t>
  </si>
  <si>
    <t>Commander</t>
  </si>
  <si>
    <t>Confessor</t>
  </si>
  <si>
    <t>Conquerer</t>
  </si>
  <si>
    <t>Corpse Collector</t>
  </si>
  <si>
    <t>Corpulent Cadaver</t>
  </si>
  <si>
    <t>Countess Lix</t>
  </si>
  <si>
    <t>Courtier</t>
  </si>
  <si>
    <t>Crimson Helm</t>
  </si>
  <si>
    <t>Crimson Slayer</t>
  </si>
  <si>
    <t>Crossbowman</t>
  </si>
  <si>
    <t>Cruetraxa</t>
  </si>
  <si>
    <t>Crusader</t>
  </si>
  <si>
    <t>Crusher</t>
  </si>
  <si>
    <t>Crypt Witch</t>
  </si>
  <si>
    <t>Crypt-King Graal</t>
  </si>
  <si>
    <t>Cudgeler</t>
  </si>
  <si>
    <t>Cultist</t>
  </si>
  <si>
    <t>Cupidus</t>
  </si>
  <si>
    <t>Dagger</t>
  </si>
  <si>
    <t>Daywalker</t>
  </si>
  <si>
    <t>Deacon Armstrong</t>
  </si>
  <si>
    <t>Dead Crusader</t>
  </si>
  <si>
    <t>Death Hound</t>
  </si>
  <si>
    <t>Deathchanter</t>
  </si>
  <si>
    <t>Deathknight</t>
  </si>
  <si>
    <t>Deathless</t>
  </si>
  <si>
    <t>Defiled Sinner</t>
  </si>
  <si>
    <t>Delver</t>
  </si>
  <si>
    <t>Dervish</t>
  </si>
  <si>
    <t>Dhampir</t>
  </si>
  <si>
    <t>Dhukk the Pierced</t>
  </si>
  <si>
    <t>Diabolist</t>
  </si>
  <si>
    <t>Relickeeper</t>
  </si>
  <si>
    <t>Dolor Lorekeeper</t>
  </si>
  <si>
    <t>Doompriest</t>
  </si>
  <si>
    <t>Doomscreech</t>
  </si>
  <si>
    <t>Dracomorph</t>
  </si>
  <si>
    <t>Drake</t>
  </si>
  <si>
    <t>Drexthar Bloodtwin</t>
  </si>
  <si>
    <t>Drokgul the Gaunt</t>
  </si>
  <si>
    <t>Duchess Lilitu</t>
  </si>
  <si>
    <t>Duelist</t>
  </si>
  <si>
    <t>Dunestrider</t>
  </si>
  <si>
    <t>Elder</t>
  </si>
  <si>
    <t>Elder Skarg</t>
  </si>
  <si>
    <t>Elegaius</t>
  </si>
  <si>
    <t>Elenaril</t>
  </si>
  <si>
    <t>Elfguard</t>
  </si>
  <si>
    <t>Elhain</t>
  </si>
  <si>
    <t>Erinyes</t>
  </si>
  <si>
    <t>Errol</t>
  </si>
  <si>
    <t>Excruciator</t>
  </si>
  <si>
    <t>Executioner</t>
  </si>
  <si>
    <t>Exemplar</t>
  </si>
  <si>
    <t>Faceless</t>
  </si>
  <si>
    <t>Fahrakin the Fat</t>
  </si>
  <si>
    <t>Fang Cleric</t>
  </si>
  <si>
    <t>Fayne</t>
  </si>
  <si>
    <t>Fellhound</t>
  </si>
  <si>
    <t>Fenax</t>
  </si>
  <si>
    <t>Fencer</t>
  </si>
  <si>
    <t>Fireblade</t>
  </si>
  <si>
    <t>Flailer</t>
  </si>
  <si>
    <t>Flesheater</t>
  </si>
  <si>
    <t>Fleshmonger</t>
  </si>
  <si>
    <t>Flesh-Tearer</t>
  </si>
  <si>
    <t>Flinger</t>
  </si>
  <si>
    <t>Foli</t>
  </si>
  <si>
    <t>Fortress Goon</t>
  </si>
  <si>
    <t>Frontline Warrior</t>
  </si>
  <si>
    <t>Frostbringer</t>
  </si>
  <si>
    <t>Frostskin</t>
  </si>
  <si>
    <t>Frozen Banshee</t>
  </si>
  <si>
    <t>Furystoker</t>
  </si>
  <si>
    <t>Fu-Shan</t>
  </si>
  <si>
    <t>Gala Longbraids</t>
  </si>
  <si>
    <t>Galek</t>
  </si>
  <si>
    <t>Galkut</t>
  </si>
  <si>
    <t>Gator</t>
  </si>
  <si>
    <t>Geargrinder</t>
  </si>
  <si>
    <t>Gerhard the Stone</t>
  </si>
  <si>
    <t>Ghostborn</t>
  </si>
  <si>
    <t>Ghoulish Ranger</t>
  </si>
  <si>
    <t>Gladiator</t>
  </si>
  <si>
    <t>Gloril Brutebane</t>
  </si>
  <si>
    <t>Gnarlhorn</t>
  </si>
  <si>
    <t>Godseeker Aniri</t>
  </si>
  <si>
    <t>Golden Reaper</t>
  </si>
  <si>
    <t>Goremask</t>
  </si>
  <si>
    <t>Gorgorab</t>
  </si>
  <si>
    <t>Grandmaster</t>
  </si>
  <si>
    <t>Grappler</t>
  </si>
  <si>
    <t>Gravechill Killer</t>
  </si>
  <si>
    <t>Graybeard</t>
  </si>
  <si>
    <t>Grimskin</t>
  </si>
  <si>
    <t>Grinner</t>
  </si>
  <si>
    <t>Grizzled Jarl</t>
  </si>
  <si>
    <t>Grohak the Bloodied</t>
  </si>
  <si>
    <t>Grumbler</t>
  </si>
  <si>
    <t>Grunch Killjoy</t>
  </si>
  <si>
    <t>Guardian</t>
  </si>
  <si>
    <t>Gurgoh the Augur</t>
  </si>
  <si>
    <t>Gurptuk Moss-Beard</t>
  </si>
  <si>
    <t>Haarken Greatblade</t>
  </si>
  <si>
    <t>Hakkorhn Smashlord</t>
  </si>
  <si>
    <t>Halberdier</t>
  </si>
  <si>
    <t>Hardscale</t>
  </si>
  <si>
    <t>Harrier</t>
  </si>
  <si>
    <t>Harvest Jack</t>
  </si>
  <si>
    <t>Hatchet Slinger</t>
  </si>
  <si>
    <t>Head Taker</t>
  </si>
  <si>
    <t>Headsman</t>
  </si>
  <si>
    <t>Heartpiercer</t>
  </si>
  <si>
    <t>Hegemon</t>
  </si>
  <si>
    <t>Heiress</t>
  </si>
  <si>
    <t>Hellfang</t>
  </si>
  <si>
    <t>Hellgazer</t>
  </si>
  <si>
    <t>Hellhound</t>
  </si>
  <si>
    <t>Herald</t>
  </si>
  <si>
    <t>Hexia</t>
  </si>
  <si>
    <t>Hexweaver</t>
  </si>
  <si>
    <t>Hill Nomad</t>
  </si>
  <si>
    <t>Hollow</t>
  </si>
  <si>
    <t>Honor Guard</t>
  </si>
  <si>
    <t>Hope</t>
  </si>
  <si>
    <t>Hordin</t>
  </si>
  <si>
    <t>Hospitaller</t>
  </si>
  <si>
    <t>Hound Spawn</t>
  </si>
  <si>
    <t>Hungerer</t>
  </si>
  <si>
    <t>Huntress</t>
  </si>
  <si>
    <t>Hurler</t>
  </si>
  <si>
    <t>Husk</t>
  </si>
  <si>
    <t>Hyria</t>
  </si>
  <si>
    <t>Icebound Prospector</t>
  </si>
  <si>
    <t>Ignatius</t>
  </si>
  <si>
    <t>Incubus</t>
  </si>
  <si>
    <t>Infernal Baroness</t>
  </si>
  <si>
    <t>Inithwe Bloodtwin</t>
  </si>
  <si>
    <t>Inquisitor Shamael</t>
  </si>
  <si>
    <t>Interceptor</t>
  </si>
  <si>
    <t>Intercessor</t>
  </si>
  <si>
    <t>Iron Brago</t>
  </si>
  <si>
    <t>Ironclad</t>
  </si>
  <si>
    <t>Ithos</t>
  </si>
  <si>
    <t>Jaeger</t>
  </si>
  <si>
    <t>Jarang</t>
  </si>
  <si>
    <t>Jareg</t>
  </si>
  <si>
    <t>Jinglehunter</t>
  </si>
  <si>
    <t>Jotun</t>
  </si>
  <si>
    <t>Judge</t>
  </si>
  <si>
    <t>Judicator</t>
  </si>
  <si>
    <t>Juliana</t>
  </si>
  <si>
    <t>Justiciar</t>
  </si>
  <si>
    <t>Kael</t>
  </si>
  <si>
    <t>Kaiden</t>
  </si>
  <si>
    <t>Kallia</t>
  </si>
  <si>
    <t>Kantra the Cyclone</t>
  </si>
  <si>
    <t>Karam</t>
  </si>
  <si>
    <t>Khoronar</t>
  </si>
  <si>
    <t>King Garog</t>
  </si>
  <si>
    <t>Klodd Beastfeeder</t>
  </si>
  <si>
    <t>Knecht</t>
  </si>
  <si>
    <t>Knight-Errant</t>
  </si>
  <si>
    <t>Kreela Witch-Arm</t>
  </si>
  <si>
    <t>Krisk the Ageless</t>
  </si>
  <si>
    <t>Kytis</t>
  </si>
  <si>
    <t>Lady Etessa</t>
  </si>
  <si>
    <t>Lamellar</t>
  </si>
  <si>
    <t>Lanakis the Chosen</t>
  </si>
  <si>
    <t>Lemure</t>
  </si>
  <si>
    <t>Lich</t>
  </si>
  <si>
    <t>Lightsworn</t>
  </si>
  <si>
    <t>Line Infantry</t>
  </si>
  <si>
    <t>Little Miss Annie</t>
  </si>
  <si>
    <t>Lodric Falconheart</t>
  </si>
  <si>
    <t>Longbeard</t>
  </si>
  <si>
    <t>Lord Champfort</t>
  </si>
  <si>
    <t>Lord Shazar</t>
  </si>
  <si>
    <t>Lua</t>
  </si>
  <si>
    <t>Lugan the Steadfast</t>
  </si>
  <si>
    <t>Luria</t>
  </si>
  <si>
    <t>Lurker</t>
  </si>
  <si>
    <t>Luthiea</t>
  </si>
  <si>
    <t>Lyssandra</t>
  </si>
  <si>
    <t>Madame Serris</t>
  </si>
  <si>
    <t>Madman</t>
  </si>
  <si>
    <t>Maeve</t>
  </si>
  <si>
    <t>Magekiller</t>
  </si>
  <si>
    <t>Magister</t>
  </si>
  <si>
    <t>Magmablood</t>
  </si>
  <si>
    <t>Magus</t>
  </si>
  <si>
    <t>Maiden</t>
  </si>
  <si>
    <t>Malbranche</t>
  </si>
  <si>
    <t>Maneater</t>
  </si>
  <si>
    <t>Marked</t>
  </si>
  <si>
    <t>Marksman</t>
  </si>
  <si>
    <t>Marquess</t>
  </si>
  <si>
    <t>Martyr</t>
  </si>
  <si>
    <t>Ma'Shalled</t>
  </si>
  <si>
    <t>Masked Fearmonger</t>
  </si>
  <si>
    <t>Master Butcher</t>
  </si>
  <si>
    <t>Maulie Tankard</t>
  </si>
  <si>
    <t>Mausoleum Mage</t>
  </si>
  <si>
    <t>Melga Steelgirdle</t>
  </si>
  <si>
    <t>Metalshaper</t>
  </si>
  <si>
    <t>Militia</t>
  </si>
  <si>
    <t>Minaya</t>
  </si>
  <si>
    <t>Miscreated Monster</t>
  </si>
  <si>
    <t>Missionary</t>
  </si>
  <si>
    <t>Mistress of Hymns</t>
  </si>
  <si>
    <t>Mortu-Macaab</t>
  </si>
  <si>
    <t>Mother Superior</t>
  </si>
  <si>
    <t>Mountain King</t>
  </si>
  <si>
    <t>Muckstalker</t>
  </si>
  <si>
    <t>Myrmidon</t>
  </si>
  <si>
    <t>Mystic Hand</t>
  </si>
  <si>
    <t>Narma the Returned</t>
  </si>
  <si>
    <t>Nazana</t>
  </si>
  <si>
    <t>Necrohunter</t>
  </si>
  <si>
    <t>Nekhret the Great</t>
  </si>
  <si>
    <t>Nethril</t>
  </si>
  <si>
    <t>Norog</t>
  </si>
  <si>
    <t>Novitiate</t>
  </si>
  <si>
    <t>Oathbound</t>
  </si>
  <si>
    <t>Occult Brawler</t>
  </si>
  <si>
    <t>Ogryn Jailer</t>
  </si>
  <si>
    <t>Old Hermit Jorrg</t>
  </si>
  <si>
    <t>Oldbeard</t>
  </si>
  <si>
    <t>Outlander</t>
  </si>
  <si>
    <t>Outlaw Monk</t>
  </si>
  <si>
    <t>Outrider</t>
  </si>
  <si>
    <t>Ox</t>
  </si>
  <si>
    <t>Painsmith</t>
  </si>
  <si>
    <t>Panthera</t>
  </si>
  <si>
    <t>Penitent</t>
  </si>
  <si>
    <t>Perforator</t>
  </si>
  <si>
    <t>Pestilus</t>
  </si>
  <si>
    <t>Peydma</t>
  </si>
  <si>
    <t>Pigsticker</t>
  </si>
  <si>
    <t>Pikeman</t>
  </si>
  <si>
    <t>Pilgrim</t>
  </si>
  <si>
    <t>Pit Cur</t>
  </si>
  <si>
    <t>Pit Fighter</t>
  </si>
  <si>
    <t>Pitiless One</t>
  </si>
  <si>
    <t>Pitspawn</t>
  </si>
  <si>
    <t>Pounder</t>
  </si>
  <si>
    <t>Preacher</t>
  </si>
  <si>
    <t>Preserver</t>
  </si>
  <si>
    <t>Prince Kymar</t>
  </si>
  <si>
    <t>Prundar</t>
  </si>
  <si>
    <t>Psylar</t>
  </si>
  <si>
    <t>Purgator</t>
  </si>
  <si>
    <t>Pyxniel</t>
  </si>
  <si>
    <t>Quaestor</t>
  </si>
  <si>
    <t>Queen Eva</t>
  </si>
  <si>
    <t>Rae</t>
  </si>
  <si>
    <t>Ragemonger</t>
  </si>
  <si>
    <t>Raglin</t>
  </si>
  <si>
    <t>Raider</t>
  </si>
  <si>
    <t>Ranger</t>
  </si>
  <si>
    <t>Rearguard Sergeant</t>
  </si>
  <si>
    <t>Rector Drath</t>
  </si>
  <si>
    <t>Redeemer</t>
  </si>
  <si>
    <t>Reinbeast</t>
  </si>
  <si>
    <t>Reliquary Tender</t>
  </si>
  <si>
    <t>Renegade</t>
  </si>
  <si>
    <t>Renouncer</t>
  </si>
  <si>
    <t>Retainer</t>
  </si>
  <si>
    <t>Richtoff the Bold</t>
  </si>
  <si>
    <t>Ripper</t>
  </si>
  <si>
    <t>Ripperfist</t>
  </si>
  <si>
    <t>Ritualist</t>
  </si>
  <si>
    <t>Robar</t>
  </si>
  <si>
    <t>Rock Breaker</t>
  </si>
  <si>
    <t>Rocktooth</t>
  </si>
  <si>
    <t>Romero</t>
  </si>
  <si>
    <t>Roshcard the Tower</t>
  </si>
  <si>
    <t>Rotos the Lost Groom</t>
  </si>
  <si>
    <t>Rotting Mage</t>
  </si>
  <si>
    <t>Rowan</t>
  </si>
  <si>
    <t>Roxam</t>
  </si>
  <si>
    <t>Royal Guard</t>
  </si>
  <si>
    <t>Royal Huntsman</t>
  </si>
  <si>
    <t>Ruffstone</t>
  </si>
  <si>
    <t>Rugnor Goldgleam</t>
  </si>
  <si>
    <t>Runekeeper Dazdurk</t>
  </si>
  <si>
    <t>Runic Warder</t>
  </si>
  <si>
    <t>Saito</t>
  </si>
  <si>
    <t>Samar Gemcursed</t>
  </si>
  <si>
    <t>Sanctum Protector</t>
  </si>
  <si>
    <t>Sandbow</t>
  </si>
  <si>
    <t>Sandlashed Survivor</t>
  </si>
  <si>
    <t>Sanguinia</t>
  </si>
  <si>
    <t>Satyr</t>
  </si>
  <si>
    <t>Saurus</t>
  </si>
  <si>
    <t>Scrapper</t>
  </si>
  <si>
    <t>Seducer</t>
  </si>
  <si>
    <t>Seeker</t>
  </si>
  <si>
    <t>Seer</t>
  </si>
  <si>
    <t>Seneschal</t>
  </si>
  <si>
    <t>Sentinel</t>
  </si>
  <si>
    <t>Septimus</t>
  </si>
  <si>
    <t>Sepulcher Sentinel</t>
  </si>
  <si>
    <t>Sergeant</t>
  </si>
  <si>
    <t>Sethallia</t>
  </si>
  <si>
    <t>Shamrock</t>
  </si>
  <si>
    <t>Sharpshooter</t>
  </si>
  <si>
    <t>Shatterbones</t>
  </si>
  <si>
    <t>Shieldguard</t>
  </si>
  <si>
    <t>Shirimani</t>
  </si>
  <si>
    <t>Sicia Flametongue</t>
  </si>
  <si>
    <t>Siegebreaker</t>
  </si>
  <si>
    <t>Sikara</t>
  </si>
  <si>
    <t>Sinesha</t>
  </si>
  <si>
    <t>Siphi the Lost Bride</t>
  </si>
  <si>
    <t>Sir Nicholas</t>
  </si>
  <si>
    <t>Sister Militant</t>
  </si>
  <si>
    <t>Skartorsis</t>
  </si>
  <si>
    <t>Skellag</t>
  </si>
  <si>
    <t>Skink</t>
  </si>
  <si>
    <t>Skinner</t>
  </si>
  <si>
    <t>Skirmisher</t>
  </si>
  <si>
    <t>Skull Lord Var-Gall</t>
  </si>
  <si>
    <t>Skullcrown</t>
  </si>
  <si>
    <t>Skullcrusher</t>
  </si>
  <si>
    <t>Skullsquire</t>
  </si>
  <si>
    <t>Skullsworn</t>
  </si>
  <si>
    <t>Skytouched Shaman</t>
  </si>
  <si>
    <t>Slasher</t>
  </si>
  <si>
    <t>Slayer</t>
  </si>
  <si>
    <t>Slicer</t>
  </si>
  <si>
    <t>Slitherbrute</t>
  </si>
  <si>
    <t>Sniper</t>
  </si>
  <si>
    <t>Snorting Thug</t>
  </si>
  <si>
    <t>Solaris</t>
  </si>
  <si>
    <t>Sorceress</t>
  </si>
  <si>
    <t>Soulbond Bowyer</t>
  </si>
  <si>
    <t>Souldrinker</t>
  </si>
  <si>
    <t>Soulless</t>
  </si>
  <si>
    <t>Spikehead</t>
  </si>
  <si>
    <t>Spirithost</t>
  </si>
  <si>
    <t>Spiritwalker</t>
  </si>
  <si>
    <t>Squire</t>
  </si>
  <si>
    <t>Stag Knight</t>
  </si>
  <si>
    <t>Stalker</t>
  </si>
  <si>
    <t>Stalwart</t>
  </si>
  <si>
    <t>Steadfast Marshal</t>
  </si>
  <si>
    <t>Steel Bowyer</t>
  </si>
  <si>
    <t>Steelskull</t>
  </si>
  <si>
    <t>Stitched Beast</t>
  </si>
  <si>
    <t>Stoneskin</t>
  </si>
  <si>
    <t>Stout Axeman</t>
  </si>
  <si>
    <t>Suntribe</t>
  </si>
  <si>
    <t>Suzerain Katonn</t>
  </si>
  <si>
    <t>Swordsman</t>
  </si>
  <si>
    <t>Tallia</t>
  </si>
  <si>
    <t>Tarshon</t>
  </si>
  <si>
    <t>Taurus</t>
  </si>
  <si>
    <t>Tayrel</t>
  </si>
  <si>
    <t>Teela Goremane</t>
  </si>
  <si>
    <t>Templar</t>
  </si>
  <si>
    <t>Temptress</t>
  </si>
  <si>
    <t>Terrorbeast</t>
  </si>
  <si>
    <t>Teshada</t>
  </si>
  <si>
    <t>Thenasil</t>
  </si>
  <si>
    <t>Theurgist</t>
  </si>
  <si>
    <t>Thrall</t>
  </si>
  <si>
    <t>Thrasher</t>
  </si>
  <si>
    <t>Throatcutter</t>
  </si>
  <si>
    <t>Tigersoul</t>
  </si>
  <si>
    <t>Tomb Lord</t>
  </si>
  <si>
    <t>Tormentor</t>
  </si>
  <si>
    <t>Tormin the Cold</t>
  </si>
  <si>
    <t>Torturehelm</t>
  </si>
  <si>
    <t>Totem</t>
  </si>
  <si>
    <t>Towering Titan</t>
  </si>
  <si>
    <t>Tracker</t>
  </si>
  <si>
    <t>Treefeller</t>
  </si>
  <si>
    <t>Troglodyte</t>
  </si>
  <si>
    <t>Trunda Giltmallet</t>
  </si>
  <si>
    <t>Tuhak the Wanderer</t>
  </si>
  <si>
    <t>Tunnel Steward</t>
  </si>
  <si>
    <t>Turvold</t>
  </si>
  <si>
    <t>Twinclaw Disciple</t>
  </si>
  <si>
    <t>Tyrant Ixlimor</t>
  </si>
  <si>
    <t>Ultimate Galek</t>
  </si>
  <si>
    <t>Umbral Enchantress</t>
  </si>
  <si>
    <t>Ursala the Mourner</t>
  </si>
  <si>
    <t>Ursine Ironhide</t>
  </si>
  <si>
    <t>Ursuga Warcaller</t>
  </si>
  <si>
    <t>Uugo</t>
  </si>
  <si>
    <t>Valerie</t>
  </si>
  <si>
    <t>Valkyrie</t>
  </si>
  <si>
    <t>Valla</t>
  </si>
  <si>
    <t>Vergis</t>
  </si>
  <si>
    <t>Vergumkaar</t>
  </si>
  <si>
    <t>Veteran</t>
  </si>
  <si>
    <t>Vigilante</t>
  </si>
  <si>
    <t>Vilespawn</t>
  </si>
  <si>
    <t>Visix the Unbowed</t>
  </si>
  <si>
    <t>Vizier Ovelis</t>
  </si>
  <si>
    <t>Vogoth</t>
  </si>
  <si>
    <t>Vrask</t>
  </si>
  <si>
    <t>Vulpine</t>
  </si>
  <si>
    <t>Wagonbane</t>
  </si>
  <si>
    <t>Wanderer</t>
  </si>
  <si>
    <t>War Mother</t>
  </si>
  <si>
    <t>Warboy</t>
  </si>
  <si>
    <t>Warcaster</t>
  </si>
  <si>
    <t>Warchanter</t>
  </si>
  <si>
    <t>Warchief</t>
  </si>
  <si>
    <t>Warden</t>
  </si>
  <si>
    <t>Warlord</t>
  </si>
  <si>
    <t>Warmaiden</t>
  </si>
  <si>
    <t>Warpriest</t>
  </si>
  <si>
    <t>Whisper</t>
  </si>
  <si>
    <t>Windtalker</t>
  </si>
  <si>
    <t>Witness</t>
  </si>
  <si>
    <t>Woad-Painted</t>
  </si>
  <si>
    <t>Word Bearer</t>
  </si>
  <si>
    <t>Wretch</t>
  </si>
  <si>
    <t>Wurlim Frostking</t>
  </si>
  <si>
    <t>Wyvernbane</t>
  </si>
  <si>
    <t>Yakarl the Scourge</t>
  </si>
  <si>
    <t>Yannica</t>
  </si>
  <si>
    <t>Yeoman</t>
  </si>
  <si>
    <t>Zargala</t>
  </si>
  <si>
    <t>Zavia</t>
  </si>
  <si>
    <t>Zelotah</t>
  </si>
  <si>
    <t>Zephyr Sniper</t>
  </si>
  <si>
    <t>Bloodmask</t>
  </si>
  <si>
    <t>Chonoru</t>
  </si>
  <si>
    <t>Conscript</t>
  </si>
  <si>
    <t>Genzin</t>
  </si>
  <si>
    <t>Infiltrator</t>
  </si>
  <si>
    <t>Jintoro</t>
  </si>
  <si>
    <t>Lifetaker</t>
  </si>
  <si>
    <t>Oboro</t>
  </si>
  <si>
    <t>Sachi</t>
  </si>
  <si>
    <t>Toragi the Frog</t>
  </si>
  <si>
    <t>Wandering Priest</t>
  </si>
  <si>
    <t>Nazamok</t>
  </si>
  <si>
    <t>Tikthaa Blackscale</t>
  </si>
  <si>
    <t>hero 3750 name</t>
  </si>
  <si>
    <t>Lichenback</t>
  </si>
  <si>
    <t>Nogdar the Headhunter</t>
  </si>
  <si>
    <t>Ursine Icecrusher</t>
  </si>
  <si>
    <t>Quargan the Crowned</t>
  </si>
  <si>
    <t>hero 4720 name</t>
  </si>
  <si>
    <t>hero 4880 name</t>
  </si>
  <si>
    <t>Exiled Sorcerer</t>
  </si>
  <si>
    <t>Fodbor the Bard</t>
  </si>
  <si>
    <t>Underpriest Brogni</t>
  </si>
  <si>
    <t>Riho Bonespear</t>
  </si>
  <si>
    <t>Giscard the Sigiled</t>
  </si>
  <si>
    <t>Skimfos the Consumed</t>
  </si>
  <si>
    <t>SD_Champions</t>
  </si>
  <si>
    <t>Shard Draw Champions List</t>
  </si>
  <si>
    <t>SD_Sacred_Exclusions</t>
  </si>
  <si>
    <t>SD_All_Exclusions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</si>
</sst>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00_);_(* \(#,##0.00\);_(* &quot;-&quot;??_);_(@_)"/>
    <numFmt numFmtId="165" formatCode="0.0%"/>
    <numFmt numFmtId="166" formatCode="\+0%"/>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444444"/>
      <name val="Calibri"/>
      <family val="2"/>
      <scheme val="minor"/>
    </font>
    <font>
      <b/>
      <sz val="10"/>
      <color theme="1"/>
      <name val="Calibri"/>
      <family val="2"/>
      <scheme val="minor"/>
    </font>
    <font>
      <sz val="10"/>
      <name val="Arial"/>
      <family val="2"/>
    </font>
    <font>
      <u/>
      <sz val="10"/>
      <color indexed="12"/>
      <name val="Arial"/>
      <family val="2"/>
    </font>
    <font>
      <b/>
      <sz val="8"/>
      <name val="Calibri"/>
      <family val="2"/>
    </font>
    <font>
      <sz val="8"/>
      <name val="Calibri"/>
      <family val="2"/>
      <scheme val="minor"/>
    </font>
    <font>
      <sz val="11"/>
      <name val="Calibri"/>
      <family val="2"/>
      <scheme val="minor"/>
    </font>
    <font>
      <b/>
      <sz val="20"/>
      <color theme="0"/>
      <name val="Calibri"/>
      <family val="2"/>
      <scheme val="minor"/>
    </font>
    <font>
      <sz val="24"/>
      <color rgb="FFFFFFFF"/>
      <name val="Calibri"/>
      <family val="2"/>
      <scheme val="minor"/>
    </font>
    <font>
      <b/>
      <sz val="11"/>
      <name val="Calibri"/>
      <family val="2"/>
      <scheme val="minor"/>
    </font>
    <font>
      <b/>
      <sz val="12"/>
      <color theme="1"/>
      <name val="Calibri"/>
      <family val="2"/>
      <scheme val="minor"/>
    </font>
    <font>
      <strike/>
      <sz val="11"/>
      <color theme="1"/>
      <name val="Calibri"/>
      <family val="2"/>
      <scheme val="minor"/>
    </font>
    <font>
      <b/>
      <u/>
      <sz val="9"/>
      <color indexed="81"/>
      <name val="Tahoma"/>
      <family val="2"/>
    </font>
    <font>
      <b/>
      <sz val="9"/>
      <color indexed="81"/>
      <name val="Tahoma"/>
      <family val="2"/>
    </font>
    <font>
      <sz val="9"/>
      <color indexed="81"/>
      <name val="Tahoma"/>
      <family val="2"/>
    </font>
    <font>
      <sz val="10"/>
      <name val="Calibri"/>
      <family val="2"/>
      <scheme val="minor"/>
    </font>
  </fonts>
  <fills count="17">
    <fill>
      <patternFill patternType="none"/>
    </fill>
    <fill>
      <patternFill patternType="gray125"/>
    </fill>
    <fill>
      <patternFill patternType="solid">
        <fgColor theme="4"/>
        <bgColor indexed="64"/>
      </patternFill>
    </fill>
    <fill>
      <patternFill patternType="solid">
        <fgColor theme="4" tint="-0.249977111117893"/>
        <bgColor indexed="64"/>
      </patternFill>
    </fill>
    <fill>
      <patternFill patternType="solid">
        <fgColor rgb="FF00B05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0070C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rgb="FF7030A0"/>
        <bgColor indexed="64"/>
      </patternFill>
    </fill>
    <fill>
      <patternFill patternType="solid">
        <fgColor rgb="FFFFC000"/>
        <bgColor theme="4" tint="0.79998168889431442"/>
      </patternFill>
    </fill>
    <fill>
      <patternFill patternType="solid">
        <fgColor theme="9" tint="-0.249977111117893"/>
        <bgColor indexed="64"/>
      </patternFill>
    </fill>
    <fill>
      <patternFill patternType="solid">
        <fgColor theme="7" tint="0.39997558519241921"/>
        <bgColor indexed="64"/>
      </patternFill>
    </fill>
    <fill>
      <patternFill patternType="darkGray">
        <bgColor theme="8" tint="0.39994506668294322"/>
      </patternFill>
    </fill>
  </fills>
  <borders count="52">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s>
  <cellStyleXfs count="7">
    <xf numFmtId="0" fontId="0" fillId="0" borderId="0"/>
    <xf numFmtId="9" fontId="1" fillId="0" borderId="0" applyFont="0" applyFill="0" applyBorder="0" applyAlignment="0" applyProtection="0"/>
    <xf numFmtId="0" fontId="7" fillId="0" borderId="0"/>
    <xf numFmtId="0" fontId="8" fillId="0" borderId="0" applyNumberFormat="0" applyFill="0" applyBorder="0" applyAlignment="0" applyProtection="0">
      <alignment vertical="top"/>
      <protection locked="0"/>
    </xf>
    <xf numFmtId="43" fontId="7" fillId="0" borderId="0" applyFont="0" applyFill="0" applyBorder="0" applyAlignment="0" applyProtection="0"/>
    <xf numFmtId="9" fontId="7" fillId="0" borderId="0" applyFont="0" applyFill="0" applyBorder="0" applyAlignment="0" applyProtection="0"/>
    <xf numFmtId="164" fontId="1" fillId="0" borderId="0" applyFont="0" applyFill="0" applyBorder="0" applyAlignment="0" applyProtection="0"/>
  </cellStyleXfs>
  <cellXfs count="182">
    <xf numFmtId="0" fontId="0" fillId="0" borderId="0" xfId="0"/>
    <xf numFmtId="0" fontId="3" fillId="0" borderId="1" xfId="0" applyFont="1" applyBorder="1"/>
    <xf numFmtId="0" fontId="4" fillId="2" borderId="0" xfId="0" applyFont="1" applyFill="1"/>
    <xf numFmtId="0" fontId="0" fillId="0" borderId="0" xfId="0" quotePrefix="1"/>
    <xf numFmtId="0" fontId="4" fillId="2" borderId="0" xfId="0" applyFont="1" applyFill="1" applyAlignment="1">
      <alignment horizontal="center"/>
    </xf>
    <xf numFmtId="0" fontId="4" fillId="3" borderId="2" xfId="0" applyFont="1" applyFill="1" applyBorder="1"/>
    <xf numFmtId="0" fontId="0" fillId="0" borderId="0" xfId="0" applyAlignment="1">
      <alignment horizontal="center"/>
    </xf>
    <xf numFmtId="0" fontId="4" fillId="4" borderId="3" xfId="0" applyFont="1" applyFill="1" applyBorder="1"/>
    <xf numFmtId="0" fontId="3" fillId="0" borderId="0" xfId="0" applyFont="1"/>
    <xf numFmtId="0" fontId="3" fillId="6" borderId="16" xfId="0" applyFont="1" applyFill="1" applyBorder="1" applyAlignment="1">
      <alignment horizontal="center"/>
    </xf>
    <xf numFmtId="0" fontId="3" fillId="6" borderId="17" xfId="0" applyFont="1" applyFill="1" applyBorder="1" applyAlignment="1">
      <alignment horizontal="center"/>
    </xf>
    <xf numFmtId="0" fontId="3" fillId="6" borderId="18" xfId="0" applyFont="1" applyFill="1" applyBorder="1" applyAlignment="1">
      <alignment horizontal="center"/>
    </xf>
    <xf numFmtId="0" fontId="3" fillId="0" borderId="0" xfId="0" applyFont="1" applyAlignment="1">
      <alignment horizontal="center"/>
    </xf>
    <xf numFmtId="0" fontId="3" fillId="6" borderId="19" xfId="0" applyFont="1" applyFill="1" applyBorder="1" applyAlignment="1">
      <alignment horizontal="center"/>
    </xf>
    <xf numFmtId="0" fontId="3" fillId="6" borderId="9" xfId="0" applyFont="1" applyFill="1" applyBorder="1" applyAlignment="1">
      <alignment horizontal="center"/>
    </xf>
    <xf numFmtId="0" fontId="3" fillId="6" borderId="14" xfId="0" applyFont="1" applyFill="1" applyBorder="1" applyAlignment="1">
      <alignment horizontal="center"/>
    </xf>
    <xf numFmtId="0" fontId="3" fillId="6" borderId="10" xfId="0" applyFont="1" applyFill="1" applyBorder="1" applyAlignment="1">
      <alignment horizontal="center"/>
    </xf>
    <xf numFmtId="0" fontId="3" fillId="6" borderId="15" xfId="0" applyFont="1" applyFill="1" applyBorder="1" applyAlignment="1">
      <alignment horizontal="center"/>
    </xf>
    <xf numFmtId="0" fontId="3" fillId="6" borderId="20" xfId="0" applyFont="1" applyFill="1" applyBorder="1" applyAlignment="1">
      <alignment horizontal="center"/>
    </xf>
    <xf numFmtId="0" fontId="3" fillId="6" borderId="21" xfId="0" applyFont="1" applyFill="1" applyBorder="1" applyAlignment="1">
      <alignment horizontal="center"/>
    </xf>
    <xf numFmtId="0" fontId="3" fillId="6" borderId="22" xfId="0" applyFont="1" applyFill="1" applyBorder="1" applyAlignment="1">
      <alignment horizontal="center"/>
    </xf>
    <xf numFmtId="0" fontId="3" fillId="0" borderId="27" xfId="0" applyFont="1" applyBorder="1" applyAlignment="1">
      <alignment horizontal="center"/>
    </xf>
    <xf numFmtId="0" fontId="3" fillId="0" borderId="23" xfId="0" applyFont="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3" fillId="0" borderId="28" xfId="0" applyFont="1" applyBorder="1" applyAlignment="1">
      <alignment horizontal="center"/>
    </xf>
    <xf numFmtId="0" fontId="0" fillId="0" borderId="24" xfId="0" applyBorder="1" applyAlignment="1">
      <alignment horizontal="center"/>
    </xf>
    <xf numFmtId="0" fontId="0" fillId="0" borderId="26" xfId="0" applyBorder="1" applyAlignment="1">
      <alignment horizontal="center"/>
    </xf>
    <xf numFmtId="0" fontId="0" fillId="0" borderId="23" xfId="0" applyBorder="1" applyAlignment="1">
      <alignment horizontal="center"/>
    </xf>
    <xf numFmtId="0" fontId="0" fillId="0" borderId="25" xfId="0" applyBorder="1" applyAlignment="1">
      <alignment horizontal="center"/>
    </xf>
    <xf numFmtId="1" fontId="0" fillId="0" borderId="29" xfId="0" quotePrefix="1" applyNumberFormat="1" applyBorder="1" applyAlignment="1">
      <alignment horizontal="center"/>
    </xf>
    <xf numFmtId="1" fontId="5" fillId="0" borderId="30" xfId="0" applyNumberFormat="1" applyFont="1" applyBorder="1" applyAlignment="1">
      <alignment horizontal="center" vertical="top" wrapText="1"/>
    </xf>
    <xf numFmtId="1" fontId="5" fillId="0" borderId="31" xfId="0" applyNumberFormat="1" applyFont="1" applyBorder="1" applyAlignment="1">
      <alignment horizontal="center" vertical="top" wrapText="1"/>
    </xf>
    <xf numFmtId="1" fontId="0" fillId="0" borderId="0" xfId="0" applyNumberFormat="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3" fillId="0" borderId="33" xfId="0" applyFont="1" applyBorder="1" applyAlignment="1">
      <alignment horizontal="center"/>
    </xf>
    <xf numFmtId="0" fontId="0" fillId="0" borderId="35" xfId="0" quotePrefix="1" applyBorder="1" applyAlignment="1">
      <alignment horizontal="center"/>
    </xf>
    <xf numFmtId="49" fontId="0" fillId="0" borderId="35" xfId="0" applyNumberFormat="1" applyBorder="1" applyAlignment="1">
      <alignment horizontal="center"/>
    </xf>
    <xf numFmtId="0" fontId="3" fillId="0" borderId="29" xfId="0" applyFont="1" applyBorder="1" applyAlignment="1">
      <alignment horizontal="center"/>
    </xf>
    <xf numFmtId="0" fontId="0" fillId="0" borderId="32" xfId="0" applyBorder="1" applyAlignment="1">
      <alignment horizontal="center"/>
    </xf>
    <xf numFmtId="0" fontId="0" fillId="0" borderId="36" xfId="0" quotePrefix="1" applyBorder="1" applyAlignment="1">
      <alignment horizontal="center"/>
    </xf>
    <xf numFmtId="49" fontId="0" fillId="0" borderId="36" xfId="0" applyNumberFormat="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3" fillId="0" borderId="40" xfId="0" applyFont="1" applyBorder="1" applyAlignment="1">
      <alignment horizontal="center"/>
    </xf>
    <xf numFmtId="0" fontId="3" fillId="6" borderId="11" xfId="0" applyFont="1" applyFill="1" applyBorder="1" applyAlignment="1">
      <alignment horizontal="center"/>
    </xf>
    <xf numFmtId="0" fontId="3" fillId="6" borderId="41" xfId="0" applyFont="1" applyFill="1" applyBorder="1" applyAlignment="1">
      <alignment horizontal="center"/>
    </xf>
    <xf numFmtId="0" fontId="3" fillId="6" borderId="12" xfId="0" applyFont="1" applyFill="1" applyBorder="1" applyAlignment="1">
      <alignment horizontal="center"/>
    </xf>
    <xf numFmtId="0" fontId="4" fillId="3" borderId="0" xfId="0" applyFont="1" applyFill="1"/>
    <xf numFmtId="0" fontId="0" fillId="0" borderId="0" xfId="0" applyAlignment="1">
      <alignment horizontal="left"/>
    </xf>
    <xf numFmtId="0" fontId="0" fillId="0" borderId="42" xfId="0" applyBorder="1" applyAlignment="1">
      <alignment horizontal="center"/>
    </xf>
    <xf numFmtId="0" fontId="0" fillId="0" borderId="15" xfId="0" applyBorder="1" applyAlignment="1">
      <alignment horizontal="center"/>
    </xf>
    <xf numFmtId="0" fontId="2" fillId="0" borderId="0" xfId="0" applyFont="1" applyAlignment="1">
      <alignment horizontal="left" vertical="center"/>
    </xf>
    <xf numFmtId="49" fontId="0" fillId="0" borderId="36" xfId="0" quotePrefix="1" applyNumberFormat="1" applyBorder="1" applyAlignment="1">
      <alignment horizontal="center"/>
    </xf>
    <xf numFmtId="0" fontId="3" fillId="0" borderId="37" xfId="0" applyFont="1" applyBorder="1" applyAlignment="1">
      <alignment horizontal="center"/>
    </xf>
    <xf numFmtId="0" fontId="3" fillId="0" borderId="45" xfId="0" applyFont="1" applyBorder="1" applyAlignment="1">
      <alignment horizontal="center"/>
    </xf>
    <xf numFmtId="0" fontId="0" fillId="0" borderId="46" xfId="0" applyBorder="1"/>
    <xf numFmtId="0" fontId="0" fillId="0" borderId="47" xfId="0" applyBorder="1" applyAlignment="1">
      <alignment horizontal="center"/>
    </xf>
    <xf numFmtId="49" fontId="0" fillId="0" borderId="48" xfId="0" quotePrefix="1" applyNumberFormat="1" applyBorder="1" applyAlignment="1">
      <alignment horizontal="center"/>
    </xf>
    <xf numFmtId="49" fontId="0" fillId="0" borderId="0" xfId="0" applyNumberFormat="1" applyAlignment="1">
      <alignment horizontal="center"/>
    </xf>
    <xf numFmtId="1" fontId="0" fillId="0" borderId="37" xfId="0" quotePrefix="1" applyNumberFormat="1" applyBorder="1" applyAlignment="1">
      <alignment horizontal="center"/>
    </xf>
    <xf numFmtId="1" fontId="5" fillId="0" borderId="38" xfId="0" applyNumberFormat="1" applyFont="1" applyBorder="1" applyAlignment="1">
      <alignment horizontal="center" vertical="top" wrapText="1"/>
    </xf>
    <xf numFmtId="1" fontId="5" fillId="0" borderId="39" xfId="0" applyNumberFormat="1" applyFont="1" applyBorder="1" applyAlignment="1">
      <alignment horizontal="center" vertical="top" wrapText="1"/>
    </xf>
    <xf numFmtId="1" fontId="0" fillId="0" borderId="39" xfId="0" applyNumberFormat="1" applyBorder="1" applyAlignment="1">
      <alignment horizontal="center"/>
    </xf>
    <xf numFmtId="49" fontId="0" fillId="0" borderId="48" xfId="0" applyNumberFormat="1" applyBorder="1" applyAlignment="1">
      <alignment horizontal="center"/>
    </xf>
    <xf numFmtId="0" fontId="3" fillId="0" borderId="0" xfId="0" applyFont="1" applyAlignment="1">
      <alignment horizontal="left"/>
    </xf>
    <xf numFmtId="0" fontId="9" fillId="5" borderId="25" xfId="2" applyFont="1" applyFill="1" applyBorder="1" applyAlignment="1">
      <alignment horizontal="left" vertical="center"/>
    </xf>
    <xf numFmtId="0" fontId="9" fillId="5" borderId="25" xfId="2" applyFont="1" applyFill="1" applyBorder="1" applyAlignment="1">
      <alignment horizontal="center" vertical="center"/>
    </xf>
    <xf numFmtId="0" fontId="9" fillId="0" borderId="0" xfId="2" applyFont="1" applyFill="1" applyBorder="1" applyAlignment="1">
      <alignment horizontal="center" vertical="center"/>
    </xf>
    <xf numFmtId="14" fontId="9" fillId="5" borderId="25" xfId="2" applyNumberFormat="1" applyFont="1" applyFill="1" applyBorder="1" applyAlignment="1">
      <alignment horizontal="center" vertical="center"/>
    </xf>
    <xf numFmtId="14" fontId="9" fillId="5" borderId="24" xfId="2" applyNumberFormat="1" applyFont="1" applyFill="1" applyBorder="1" applyAlignment="1">
      <alignment horizontal="center" vertical="center" wrapText="1"/>
    </xf>
    <xf numFmtId="14" fontId="9" fillId="0" borderId="0" xfId="2" applyNumberFormat="1" applyFont="1" applyFill="1" applyBorder="1" applyAlignment="1">
      <alignment horizontal="center" vertical="center"/>
    </xf>
    <xf numFmtId="14" fontId="9" fillId="0" borderId="0" xfId="2" applyNumberFormat="1" applyFont="1" applyFill="1" applyBorder="1" applyAlignment="1">
      <alignment horizontal="center" vertical="center" wrapText="1"/>
    </xf>
    <xf numFmtId="0" fontId="9" fillId="0" borderId="0" xfId="2" applyFont="1" applyFill="1" applyBorder="1" applyAlignment="1">
      <alignment horizontal="left" vertical="center"/>
    </xf>
    <xf numFmtId="1" fontId="0" fillId="8" borderId="51" xfId="6" applyNumberFormat="1" applyFont="1" applyFill="1" applyBorder="1" applyAlignment="1" applyProtection="1">
      <alignment horizontal="center" vertical="center"/>
      <protection locked="0"/>
    </xf>
    <xf numFmtId="1" fontId="0" fillId="8" borderId="32" xfId="6" applyNumberFormat="1" applyFont="1" applyFill="1" applyBorder="1" applyAlignment="1" applyProtection="1">
      <alignment horizontal="center" vertical="center"/>
      <protection locked="0"/>
    </xf>
    <xf numFmtId="0" fontId="0" fillId="8" borderId="36" xfId="0" applyFill="1" applyBorder="1" applyAlignment="1" applyProtection="1">
      <alignment horizontal="center"/>
      <protection locked="0"/>
    </xf>
    <xf numFmtId="1" fontId="0" fillId="8" borderId="44" xfId="6" applyNumberFormat="1" applyFont="1" applyFill="1" applyBorder="1" applyAlignment="1" applyProtection="1">
      <alignment horizontal="center" vertical="center"/>
      <protection locked="0"/>
    </xf>
    <xf numFmtId="0" fontId="0" fillId="8" borderId="48" xfId="0" applyFill="1" applyBorder="1" applyAlignment="1" applyProtection="1">
      <alignment horizontal="center"/>
      <protection locked="0"/>
    </xf>
    <xf numFmtId="0" fontId="0" fillId="8" borderId="29" xfId="0" applyFill="1" applyBorder="1" applyProtection="1">
      <protection locked="0"/>
    </xf>
    <xf numFmtId="0" fontId="0" fillId="8" borderId="37" xfId="0" applyFill="1" applyBorder="1" applyProtection="1">
      <protection locked="0"/>
    </xf>
    <xf numFmtId="0" fontId="0" fillId="8" borderId="23" xfId="0" applyFill="1" applyBorder="1" applyAlignment="1" applyProtection="1">
      <alignment horizontal="left"/>
      <protection locked="0"/>
    </xf>
    <xf numFmtId="0" fontId="0" fillId="8" borderId="29" xfId="0" applyFill="1" applyBorder="1" applyAlignment="1" applyProtection="1">
      <alignment horizontal="left"/>
      <protection locked="0"/>
    </xf>
    <xf numFmtId="0" fontId="0" fillId="8" borderId="23" xfId="0" applyFill="1" applyBorder="1" applyProtection="1">
      <protection locked="0"/>
    </xf>
    <xf numFmtId="0" fontId="0" fillId="15" borderId="30" xfId="0" applyFill="1" applyBorder="1" applyAlignment="1">
      <alignment horizontal="center"/>
    </xf>
    <xf numFmtId="0" fontId="0" fillId="0" borderId="4" xfId="0" applyBorder="1"/>
    <xf numFmtId="0" fontId="0" fillId="0" borderId="5" xfId="0" applyBorder="1" applyAlignment="1">
      <alignment horizontal="center"/>
    </xf>
    <xf numFmtId="0" fontId="0" fillId="0" borderId="0" xfId="0" applyBorder="1"/>
    <xf numFmtId="0" fontId="0" fillId="0" borderId="0" xfId="0" applyNumberFormat="1" applyBorder="1" applyAlignment="1">
      <alignment horizontal="center"/>
    </xf>
    <xf numFmtId="0" fontId="20" fillId="0" borderId="0" xfId="0" applyFont="1" applyBorder="1" applyAlignment="1">
      <alignment horizontal="center" vertical="center"/>
    </xf>
    <xf numFmtId="0" fontId="0" fillId="0" borderId="0" xfId="0" applyProtection="1"/>
    <xf numFmtId="0" fontId="13" fillId="0" borderId="0" xfId="0" applyFont="1" applyAlignment="1" applyProtection="1">
      <alignment horizontal="center"/>
    </xf>
    <xf numFmtId="0" fontId="11" fillId="0" borderId="0" xfId="0" applyFont="1" applyProtection="1"/>
    <xf numFmtId="0" fontId="14" fillId="0" borderId="0" xfId="0" applyFont="1" applyAlignment="1" applyProtection="1">
      <alignment horizontal="center"/>
    </xf>
    <xf numFmtId="0" fontId="0" fillId="0" borderId="0" xfId="0" applyAlignment="1" applyProtection="1">
      <alignment horizontal="center" vertical="top" wrapText="1"/>
    </xf>
    <xf numFmtId="0" fontId="0" fillId="0" borderId="0" xfId="0" applyAlignment="1" applyProtection="1">
      <alignment horizontal="center"/>
    </xf>
    <xf numFmtId="0" fontId="3" fillId="5" borderId="13" xfId="0" applyFont="1" applyFill="1" applyBorder="1" applyAlignment="1" applyProtection="1">
      <alignment horizontal="right"/>
    </xf>
    <xf numFmtId="0" fontId="3" fillId="5" borderId="7" xfId="0" applyFont="1" applyFill="1" applyBorder="1" applyAlignment="1" applyProtection="1">
      <alignment horizontal="center"/>
    </xf>
    <xf numFmtId="0" fontId="3" fillId="5" borderId="8" xfId="0" applyFont="1" applyFill="1" applyBorder="1" applyAlignment="1" applyProtection="1">
      <alignment horizontal="center"/>
    </xf>
    <xf numFmtId="0" fontId="6" fillId="11" borderId="29" xfId="0" applyFont="1" applyFill="1" applyBorder="1" applyAlignment="1" applyProtection="1">
      <alignment horizontal="center"/>
    </xf>
    <xf numFmtId="0" fontId="6" fillId="0" borderId="30" xfId="0" applyFont="1" applyBorder="1" applyAlignment="1" applyProtection="1">
      <alignment horizontal="center"/>
    </xf>
    <xf numFmtId="0" fontId="6" fillId="11" borderId="31" xfId="0" applyFont="1" applyFill="1" applyBorder="1" applyAlignment="1" applyProtection="1">
      <alignment horizontal="center"/>
    </xf>
    <xf numFmtId="0" fontId="6" fillId="13" borderId="31" xfId="0" applyFont="1" applyFill="1" applyBorder="1" applyAlignment="1" applyProtection="1">
      <alignment horizontal="center"/>
    </xf>
    <xf numFmtId="0" fontId="4" fillId="14" borderId="20" xfId="0" applyFont="1" applyFill="1" applyBorder="1" applyAlignment="1" applyProtection="1">
      <alignment horizontal="right"/>
    </xf>
    <xf numFmtId="0" fontId="0" fillId="16" borderId="28" xfId="0" applyFill="1" applyBorder="1" applyAlignment="1" applyProtection="1">
      <alignment horizontal="center"/>
    </xf>
    <xf numFmtId="0" fontId="4" fillId="14" borderId="27" xfId="0" applyFont="1" applyFill="1" applyBorder="1" applyAlignment="1" applyProtection="1">
      <alignment horizontal="center"/>
    </xf>
    <xf numFmtId="0" fontId="0" fillId="0" borderId="29" xfId="0" applyBorder="1" applyAlignment="1" applyProtection="1">
      <alignment horizontal="center"/>
    </xf>
    <xf numFmtId="0" fontId="16" fillId="0" borderId="30" xfId="0" applyFont="1" applyBorder="1" applyAlignment="1" applyProtection="1">
      <alignment horizontal="center"/>
    </xf>
    <xf numFmtId="0" fontId="16" fillId="0" borderId="31" xfId="0" applyFont="1" applyBorder="1" applyAlignment="1" applyProtection="1">
      <alignment horizontal="center"/>
    </xf>
    <xf numFmtId="165" fontId="0" fillId="0" borderId="29" xfId="0" applyNumberFormat="1" applyBorder="1" applyAlignment="1" applyProtection="1">
      <alignment horizontal="center"/>
    </xf>
    <xf numFmtId="0" fontId="4" fillId="7" borderId="29" xfId="0" applyFont="1" applyFill="1" applyBorder="1" applyAlignment="1" applyProtection="1">
      <alignment horizontal="right"/>
    </xf>
    <xf numFmtId="0" fontId="4" fillId="7" borderId="33" xfId="0" applyFont="1" applyFill="1" applyBorder="1" applyAlignment="1" applyProtection="1">
      <alignment horizontal="center"/>
    </xf>
    <xf numFmtId="0" fontId="0" fillId="0" borderId="30" xfId="0" applyBorder="1" applyAlignment="1" applyProtection="1">
      <alignment horizontal="center"/>
    </xf>
    <xf numFmtId="0" fontId="0" fillId="0" borderId="31" xfId="0" applyBorder="1" applyAlignment="1" applyProtection="1">
      <alignment horizontal="center"/>
    </xf>
    <xf numFmtId="165" fontId="0" fillId="0" borderId="29" xfId="1" applyNumberFormat="1" applyFont="1" applyBorder="1" applyAlignment="1" applyProtection="1">
      <alignment horizontal="center"/>
    </xf>
    <xf numFmtId="165" fontId="0" fillId="0" borderId="30" xfId="1" applyNumberFormat="1" applyFont="1" applyBorder="1" applyAlignment="1" applyProtection="1">
      <alignment horizontal="center"/>
    </xf>
    <xf numFmtId="165" fontId="0" fillId="0" borderId="31" xfId="1" applyNumberFormat="1" applyFont="1" applyBorder="1" applyAlignment="1" applyProtection="1">
      <alignment horizontal="center"/>
    </xf>
    <xf numFmtId="0" fontId="4" fillId="12" borderId="29" xfId="0" applyFont="1" applyFill="1" applyBorder="1" applyAlignment="1" applyProtection="1">
      <alignment horizontal="right"/>
    </xf>
    <xf numFmtId="0" fontId="4" fillId="12" borderId="33" xfId="0" applyFont="1" applyFill="1" applyBorder="1" applyAlignment="1" applyProtection="1">
      <alignment horizontal="center"/>
    </xf>
    <xf numFmtId="0" fontId="11" fillId="9" borderId="37" xfId="0" applyFont="1" applyFill="1" applyBorder="1" applyAlignment="1" applyProtection="1">
      <alignment horizontal="right"/>
    </xf>
    <xf numFmtId="0" fontId="11" fillId="9" borderId="40" xfId="0" applyFont="1" applyFill="1" applyBorder="1" applyAlignment="1" applyProtection="1">
      <alignment horizontal="center"/>
    </xf>
    <xf numFmtId="0" fontId="16" fillId="0" borderId="37" xfId="0" applyFont="1" applyBorder="1" applyAlignment="1" applyProtection="1">
      <alignment horizontal="center"/>
    </xf>
    <xf numFmtId="0" fontId="0" fillId="0" borderId="38" xfId="0" applyBorder="1" applyAlignment="1" applyProtection="1">
      <alignment horizontal="center"/>
    </xf>
    <xf numFmtId="0" fontId="0" fillId="0" borderId="39" xfId="0" applyBorder="1" applyAlignment="1" applyProtection="1">
      <alignment horizontal="center"/>
    </xf>
    <xf numFmtId="165" fontId="16" fillId="0" borderId="37" xfId="1" applyNumberFormat="1" applyFont="1" applyBorder="1" applyAlignment="1" applyProtection="1">
      <alignment horizontal="center"/>
    </xf>
    <xf numFmtId="165" fontId="0" fillId="0" borderId="38" xfId="1" applyNumberFormat="1" applyFont="1" applyBorder="1" applyAlignment="1" applyProtection="1">
      <alignment horizontal="center"/>
    </xf>
    <xf numFmtId="165" fontId="0" fillId="0" borderId="39" xfId="1" applyNumberFormat="1" applyFont="1" applyBorder="1" applyAlignment="1" applyProtection="1">
      <alignment horizontal="center"/>
    </xf>
    <xf numFmtId="0" fontId="4" fillId="14" borderId="28" xfId="0" applyFont="1" applyFill="1" applyBorder="1" applyAlignment="1" applyProtection="1">
      <alignment horizontal="center"/>
    </xf>
    <xf numFmtId="0" fontId="0" fillId="0" borderId="34" xfId="0" applyBorder="1" applyAlignment="1" applyProtection="1">
      <alignment horizontal="center"/>
    </xf>
    <xf numFmtId="0" fontId="4" fillId="7" borderId="36" xfId="0" applyFont="1" applyFill="1" applyBorder="1" applyAlignment="1" applyProtection="1">
      <alignment horizontal="center"/>
    </xf>
    <xf numFmtId="0" fontId="0" fillId="0" borderId="32" xfId="0" applyBorder="1" applyAlignment="1" applyProtection="1">
      <alignment horizontal="center"/>
    </xf>
    <xf numFmtId="0" fontId="16" fillId="0" borderId="29" xfId="0" applyFont="1" applyBorder="1" applyAlignment="1" applyProtection="1">
      <alignment horizontal="center"/>
    </xf>
    <xf numFmtId="0" fontId="4" fillId="12" borderId="36" xfId="0" applyFont="1" applyFill="1" applyBorder="1" applyAlignment="1" applyProtection="1">
      <alignment horizontal="center"/>
    </xf>
    <xf numFmtId="0" fontId="11" fillId="9" borderId="48" xfId="0" applyFont="1" applyFill="1" applyBorder="1" applyAlignment="1" applyProtection="1">
      <alignment horizontal="center"/>
    </xf>
    <xf numFmtId="0" fontId="16" fillId="0" borderId="43" xfId="0" applyFont="1" applyBorder="1" applyAlignment="1" applyProtection="1">
      <alignment horizontal="center"/>
    </xf>
    <xf numFmtId="0" fontId="0" fillId="0" borderId="44" xfId="0" applyBorder="1" applyAlignment="1" applyProtection="1">
      <alignment horizontal="center"/>
    </xf>
    <xf numFmtId="0" fontId="6" fillId="0" borderId="29" xfId="0" applyFont="1" applyBorder="1" applyAlignment="1" applyProtection="1">
      <alignment horizontal="center"/>
    </xf>
    <xf numFmtId="0" fontId="0" fillId="0" borderId="29" xfId="0" applyBorder="1" applyAlignment="1" applyProtection="1">
      <alignment horizontal="center" vertical="center"/>
    </xf>
    <xf numFmtId="0" fontId="0" fillId="0" borderId="31" xfId="0" applyBorder="1" applyAlignment="1" applyProtection="1">
      <alignment horizontal="center" vertical="center"/>
    </xf>
    <xf numFmtId="166" fontId="0" fillId="0" borderId="31" xfId="0" applyNumberFormat="1" applyBorder="1" applyAlignment="1" applyProtection="1">
      <alignment horizontal="center" vertical="center"/>
    </xf>
    <xf numFmtId="166" fontId="0" fillId="0" borderId="29" xfId="0" applyNumberFormat="1" applyBorder="1" applyAlignment="1" applyProtection="1">
      <alignment horizontal="center" vertical="center"/>
    </xf>
    <xf numFmtId="0" fontId="0" fillId="0" borderId="37" xfId="0" applyBorder="1" applyAlignment="1" applyProtection="1">
      <alignment horizontal="center" vertical="center"/>
    </xf>
    <xf numFmtId="0" fontId="0" fillId="0" borderId="39" xfId="0" applyBorder="1" applyAlignment="1" applyProtection="1">
      <alignment horizontal="center" vertical="center"/>
    </xf>
    <xf numFmtId="166" fontId="0" fillId="0" borderId="39" xfId="0" applyNumberFormat="1" applyBorder="1" applyAlignment="1" applyProtection="1">
      <alignment horizontal="center" vertical="center"/>
    </xf>
    <xf numFmtId="0" fontId="0" fillId="8" borderId="29" xfId="0" applyFill="1" applyBorder="1" applyAlignment="1" applyProtection="1">
      <alignment horizontal="center"/>
      <protection locked="0"/>
    </xf>
    <xf numFmtId="0" fontId="0" fillId="8" borderId="31" xfId="0" applyFill="1" applyBorder="1" applyAlignment="1" applyProtection="1">
      <alignment horizontal="center"/>
      <protection locked="0"/>
    </xf>
    <xf numFmtId="0" fontId="0" fillId="8" borderId="39" xfId="0" applyFill="1" applyBorder="1" applyAlignment="1" applyProtection="1">
      <alignment horizontal="center"/>
      <protection locked="0"/>
    </xf>
    <xf numFmtId="0" fontId="0" fillId="0" borderId="0" xfId="0" applyFill="1" applyProtection="1">
      <protection locked="0"/>
    </xf>
    <xf numFmtId="0" fontId="3" fillId="5" borderId="20" xfId="0" applyFont="1" applyFill="1" applyBorder="1" applyAlignment="1" applyProtection="1">
      <alignment horizontal="center"/>
    </xf>
    <xf numFmtId="0" fontId="3" fillId="5" borderId="22" xfId="0" applyFont="1" applyFill="1" applyBorder="1" applyAlignment="1" applyProtection="1">
      <alignment horizontal="center"/>
    </xf>
    <xf numFmtId="0" fontId="12" fillId="2" borderId="0" xfId="0" applyFont="1" applyFill="1" applyAlignment="1" applyProtection="1">
      <alignment horizontal="center" vertical="center"/>
    </xf>
    <xf numFmtId="0" fontId="13" fillId="2" borderId="0" xfId="0" applyFont="1" applyFill="1" applyAlignment="1" applyProtection="1">
      <alignment horizontal="center"/>
    </xf>
    <xf numFmtId="0" fontId="13" fillId="0" borderId="0" xfId="0" applyFont="1" applyAlignment="1" applyProtection="1">
      <alignment horizontal="center"/>
    </xf>
    <xf numFmtId="0" fontId="15" fillId="10" borderId="1" xfId="0" applyFont="1" applyFill="1" applyBorder="1" applyAlignment="1" applyProtection="1">
      <alignment horizontal="center" wrapText="1"/>
    </xf>
    <xf numFmtId="0" fontId="15" fillId="10" borderId="3" xfId="0" applyFont="1" applyFill="1" applyBorder="1" applyAlignment="1" applyProtection="1">
      <alignment horizontal="center" wrapText="1"/>
    </xf>
    <xf numFmtId="0" fontId="3" fillId="5" borderId="21" xfId="0" applyFont="1" applyFill="1" applyBorder="1" applyAlignment="1" applyProtection="1">
      <alignment horizontal="center"/>
    </xf>
    <xf numFmtId="0" fontId="15" fillId="10" borderId="1" xfId="0"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3" fillId="5" borderId="51" xfId="0" applyFont="1" applyFill="1" applyBorder="1" applyAlignment="1" applyProtection="1">
      <alignment horizontal="center"/>
    </xf>
    <xf numFmtId="0" fontId="3" fillId="5" borderId="27" xfId="0" applyFont="1" applyFill="1" applyBorder="1" applyAlignment="1" applyProtection="1">
      <alignment horizontal="center"/>
    </xf>
    <xf numFmtId="0" fontId="3" fillId="5" borderId="49" xfId="0" applyFont="1" applyFill="1" applyBorder="1" applyAlignment="1" applyProtection="1">
      <alignment horizontal="center"/>
    </xf>
    <xf numFmtId="0" fontId="3" fillId="5" borderId="50" xfId="0" applyFont="1" applyFill="1" applyBorder="1" applyAlignment="1" applyProtection="1">
      <alignment horizontal="center"/>
    </xf>
    <xf numFmtId="0" fontId="3" fillId="10" borderId="1" xfId="0" applyFont="1" applyFill="1" applyBorder="1" applyAlignment="1" applyProtection="1">
      <alignment horizontal="center" wrapText="1"/>
    </xf>
    <xf numFmtId="0" fontId="3" fillId="10" borderId="3" xfId="0" applyFont="1" applyFill="1" applyBorder="1" applyAlignment="1" applyProtection="1">
      <alignment horizontal="center" wrapText="1"/>
    </xf>
    <xf numFmtId="0" fontId="3" fillId="5" borderId="27" xfId="0" applyFont="1" applyFill="1" applyBorder="1" applyAlignment="1" applyProtection="1">
      <alignment horizontal="center" vertical="center"/>
    </xf>
    <xf numFmtId="0" fontId="3" fillId="5" borderId="50" xfId="0" applyFont="1" applyFill="1" applyBorder="1" applyAlignment="1" applyProtection="1">
      <alignment horizontal="center" vertical="center"/>
    </xf>
    <xf numFmtId="0" fontId="3" fillId="5" borderId="13" xfId="0" applyFont="1" applyFill="1" applyBorder="1" applyAlignment="1">
      <alignment horizontal="center"/>
    </xf>
    <xf numFmtId="0" fontId="3" fillId="5" borderId="7" xfId="0" applyFont="1" applyFill="1" applyBorder="1" applyAlignment="1">
      <alignment horizontal="center"/>
    </xf>
    <xf numFmtId="0" fontId="3" fillId="5" borderId="8" xfId="0" applyFont="1" applyFill="1" applyBorder="1" applyAlignment="1">
      <alignment horizontal="center"/>
    </xf>
    <xf numFmtId="0" fontId="4" fillId="2" borderId="0" xfId="0" applyFont="1" applyFill="1" applyAlignment="1">
      <alignment horizontal="center"/>
    </xf>
    <xf numFmtId="0" fontId="3" fillId="6" borderId="1"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3" xfId="0" applyFont="1" applyFill="1" applyBorder="1" applyAlignment="1">
      <alignment horizontal="center" vertical="center" textRotation="90"/>
    </xf>
    <xf numFmtId="0" fontId="3" fillId="5" borderId="4" xfId="0" applyFont="1" applyFill="1" applyBorder="1" applyAlignment="1">
      <alignment horizontal="center"/>
    </xf>
    <xf numFmtId="0" fontId="3" fillId="5" borderId="5" xfId="0" applyFont="1" applyFill="1" applyBorder="1" applyAlignment="1">
      <alignment horizontal="center"/>
    </xf>
    <xf numFmtId="0" fontId="3" fillId="5" borderId="6" xfId="0" applyFont="1" applyFill="1" applyBorder="1" applyAlignment="1">
      <alignment horizontal="center"/>
    </xf>
    <xf numFmtId="0" fontId="3" fillId="5" borderId="9" xfId="0" applyFont="1" applyFill="1" applyBorder="1" applyAlignment="1">
      <alignment horizontal="center"/>
    </xf>
    <xf numFmtId="0" fontId="3" fillId="5" borderId="10" xfId="0" applyFont="1" applyFill="1" applyBorder="1" applyAlignment="1">
      <alignment horizontal="center"/>
    </xf>
  </cellXfs>
  <cellStyles count="7">
    <cellStyle name="Comma 2" xfId="6" xr:uid="{F1E5EEB0-3EFB-45CA-9412-F3E7AA16F566}"/>
    <cellStyle name="Comma 3" xfId="4" xr:uid="{00000000-0005-0000-0000-000001000000}"/>
    <cellStyle name="Hyperlink 2" xfId="3" xr:uid="{00000000-0005-0000-0000-000002000000}"/>
    <cellStyle name="Normal" xfId="0" builtinId="0"/>
    <cellStyle name="Normal 3" xfId="2" xr:uid="{00000000-0005-0000-0000-000004000000}"/>
    <cellStyle name="Percent" xfId="1" builtinId="5"/>
    <cellStyle name="Percent 2" xfId="5" xr:uid="{00000000-0005-0000-0000-000006000000}"/>
  </cellStyles>
  <dxfs count="160">
    <dxf>
      <fill>
        <patternFill>
          <bgColor rgb="FFFFCE33"/>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ill>
        <patternFill>
          <bgColor rgb="FFFFCE33"/>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rgb="FFFF0000"/>
      </font>
    </dxf>
    <dxf>
      <font>
        <color theme="9" tint="-0.24994659260841701"/>
      </font>
    </dxf>
    <dxf>
      <font>
        <color rgb="FF7030A0"/>
      </font>
    </dxf>
    <dxf>
      <font>
        <color rgb="FF0070C0"/>
      </font>
    </dxf>
    <dxf>
      <font>
        <color rgb="FFFF0000"/>
      </font>
    </dxf>
    <dxf>
      <font>
        <color theme="9" tint="-0.24994659260841701"/>
      </font>
    </dxf>
    <dxf>
      <font>
        <color rgb="FF7030A0"/>
      </font>
    </dxf>
    <dxf>
      <font>
        <color rgb="FF0070C0"/>
      </font>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ill>
        <patternFill>
          <bgColor rgb="FFFFCE33"/>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bgColor rgb="FF0070C0"/>
        </patternFill>
      </fill>
    </dxf>
    <dxf>
      <font>
        <color theme="0"/>
      </font>
      <fill>
        <patternFill>
          <fgColor theme="0"/>
          <bgColor rgb="FFF42AD7"/>
        </patternFill>
      </fill>
    </dxf>
    <dxf>
      <fill>
        <patternFill patternType="none">
          <fgColor indexed="64"/>
          <bgColor indexed="65"/>
        </patternFill>
      </fill>
      <protection locked="0" hidden="0"/>
    </dxf>
    <dxf>
      <alignment horizontal="center" vertical="bottom" textRotation="0" wrapText="0" indent="0" justifyLastLine="0" shrinkToFit="0" readingOrder="0"/>
      <protection locked="1" hidden="0"/>
    </dxf>
    <dxf>
      <font>
        <sz val="10"/>
        <color auto="1"/>
      </font>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border>
        <bottom style="medium">
          <color indexed="64"/>
        </bottom>
      </border>
    </dxf>
    <dxf>
      <border diagonalUp="0" diagonalDown="0">
        <left/>
        <right/>
        <top/>
        <bottom/>
        <vertical/>
        <horizontal/>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8"/>
        <color auto="1"/>
        <name val="Calibri"/>
        <scheme val="none"/>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protection locked="1" hidden="0"/>
    </dxf>
    <dxf>
      <protection locked="1" hidden="0"/>
    </dxf>
    <dxf>
      <alignment horizontal="center" vertical="top" textRotation="0" wrapText="1" indent="0" justifyLastLine="0" shrinkToFit="0" readingOrder="0"/>
      <protection locked="1" hidden="0"/>
    </dxf>
  </dxfs>
  <tableStyles count="0" defaultTableStyle="TableStyleMedium2" defaultPivotStyle="PivotStyleLight16"/>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123825</xdr:rowOff>
    </xdr:from>
    <xdr:to>
      <xdr:col>1</xdr:col>
      <xdr:colOff>1724025</xdr:colOff>
      <xdr:row>8</xdr:row>
      <xdr:rowOff>171450</xdr:rowOff>
    </xdr:to>
    <xdr:pic macro="[0]!Draw_Shards">
      <xdr:nvPicPr>
        <xdr:cNvPr id="3" name="Picture 2">
          <a:extLst>
            <a:ext uri="{FF2B5EF4-FFF2-40B4-BE49-F238E27FC236}">
              <a16:creationId xmlns:a16="http://schemas.microsoft.com/office/drawing/2014/main" id="{51524D03-87DA-44DB-A32A-0A7570E9FD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3825"/>
          <a:ext cx="1800225" cy="18002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09A39C-882E-4911-BDD2-3EBC3F6C483E}" name="Shard_Draw_Results" displayName="Shard_Draw_Results" ref="N2:P3" totalsRowShown="0" headerRowDxfId="159" dataDxfId="158">
  <autoFilter ref="N2:P3" xr:uid="{8A0D0E6F-ABAB-4220-900A-309D7C5F1F25}"/>
  <tableColumns count="3">
    <tableColumn id="1" xr3:uid="{18CED7B3-D63F-4163-B402-AFB1219BE187}" name="Champion" dataDxfId="128"/>
    <tableColumn id="2" xr3:uid="{33E4F949-BC11-4146-9C5A-203809323BC3}" name="Rarity" dataDxfId="129">
      <calculatedColumnFormula>IF(Shard_Draw_Results[[#This Row],[Champion]]="","",_xlfn.XLOOKUP(Shard_Draw_Results[[#This Row],[Champion]],SD_Champions[Champion],SD_Champions[Rarity]))</calculatedColumnFormula>
    </tableColumn>
    <tableColumn id="3" xr3:uid="{445467F7-126E-4067-8FD2-662D604D8472}" name="Affinity" dataDxfId="157">
      <calculatedColumnFormula>IF(Shard_Draw_Results[[#This Row],[Champion]]="","",IF(_xlfn.XLOOKUP(Shard_Draw_Results[[#This Row],[Champion]],SD_Champions[Champion],SD_Champions[Affinity])=0,"",_xlfn.XLOOKUP(Shard_Draw_Results[[#This Row],[Champion]],SD_Champions[Champion],SD_Champions[Affinity])))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usion_Event_List" displayName="Fusion_Event_List" ref="AP4:BH19" totalsRowShown="0" headerRowDxfId="156" dataDxfId="154" headerRowBorderDxfId="155" tableBorderDxfId="153" headerRowCellStyle="Normal 3">
  <autoFilter ref="AP4:BH19" xr:uid="{00000000-0009-0000-0100-000001000000}"/>
  <sortState xmlns:xlrd2="http://schemas.microsoft.com/office/spreadsheetml/2017/richdata2" ref="AP5:BH19">
    <sortCondition ref="AQ5:AQ19"/>
    <sortCondition ref="AR5:AR19"/>
  </sortState>
  <tableColumns count="19">
    <tableColumn id="1" xr3:uid="{00000000-0010-0000-0000-000001000000}" name="Event" dataDxfId="152"/>
    <tableColumn id="2" xr3:uid="{00000000-0010-0000-0000-000002000000}" name="Start" dataDxfId="151"/>
    <tableColumn id="3" xr3:uid="{00000000-0010-0000-0000-000003000000}" name="End" dataDxfId="150"/>
    <tableColumn id="4" xr3:uid="{00000000-0010-0000-0000-000004000000}" name="Qty1" dataDxfId="149"/>
    <tableColumn id="5" xr3:uid="{00000000-0010-0000-0000-000005000000}" name="Champion1" dataDxfId="148"/>
    <tableColumn id="6" xr3:uid="{00000000-0010-0000-0000-000006000000}" name="Points1" dataDxfId="147"/>
    <tableColumn id="7" xr3:uid="{00000000-0010-0000-0000-000007000000}" name="Qty2" dataDxfId="146"/>
    <tableColumn id="8" xr3:uid="{00000000-0010-0000-0000-000008000000}" name="Champion2" dataDxfId="145"/>
    <tableColumn id="9" xr3:uid="{00000000-0010-0000-0000-000009000000}" name="Points2" dataDxfId="144"/>
    <tableColumn id="10" xr3:uid="{00000000-0010-0000-0000-00000A000000}" name="Qty3" dataDxfId="143"/>
    <tableColumn id="11" xr3:uid="{00000000-0010-0000-0000-00000B000000}" name="Champion3" dataDxfId="142"/>
    <tableColumn id="12" xr3:uid="{00000000-0010-0000-0000-00000C000000}" name="Points3" dataDxfId="141"/>
    <tableColumn id="13" xr3:uid="{00000000-0010-0000-0000-00000D000000}" name="Qty4" dataDxfId="140"/>
    <tableColumn id="14" xr3:uid="{00000000-0010-0000-0000-00000E000000}" name="Champion4" dataDxfId="139"/>
    <tableColumn id="15" xr3:uid="{00000000-0010-0000-0000-00000F000000}" name="Points4" dataDxfId="138"/>
    <tableColumn id="16" xr3:uid="{00000000-0010-0000-0000-000010000000}" name="Qty5" dataDxfId="137"/>
    <tableColumn id="17" xr3:uid="{00000000-0010-0000-0000-000011000000}" name="Champion5" dataDxfId="136"/>
    <tableColumn id="18" xr3:uid="{00000000-0010-0000-0000-000012000000}" name="Qty6" dataDxfId="135"/>
    <tableColumn id="19" xr3:uid="{00000000-0010-0000-0000-000013000000}" name="Champion6" dataDxfId="13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E5FA6C-E902-4D04-ACBA-75E2AC4CEC7D}" name="SD_Champions" displayName="SD_Champions" ref="BJ4:BL586" totalsRowShown="0" headerRowDxfId="133" headerRowBorderDxfId="132">
  <autoFilter ref="BJ4:BL586" xr:uid="{FEEF60D5-E7B9-4112-B491-1DFF2897B297}"/>
  <tableColumns count="3">
    <tableColumn id="1" xr3:uid="{42A8CF9B-A031-4925-B615-D09BB6BEE66D}" name="Champion"/>
    <tableColumn id="4" xr3:uid="{C65989A9-BB37-4C11-B6CF-585A60A8A5B5}" name="Rarity" dataDxfId="131"/>
    <tableColumn id="5" xr3:uid="{3D0E6206-2726-4CC7-BA64-BD3D51C0D172}" name="Affinity" dataDxfId="1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323E6-D9B6-4470-8C82-AFD5FF5121ED}">
  <sheetPr codeName="Sheet13">
    <tabColor theme="4" tint="0.39997558519241921"/>
  </sheetPr>
  <dimension ref="A1:P25"/>
  <sheetViews>
    <sheetView tabSelected="1" zoomScaleNormal="100" workbookViewId="0">
      <selection activeCell="L22" sqref="L22"/>
    </sheetView>
  </sheetViews>
  <sheetFormatPr defaultRowHeight="15" x14ac:dyDescent="0.25"/>
  <cols>
    <col min="1" max="1" width="1.140625" style="94" customWidth="1"/>
    <col min="2" max="2" width="26.42578125" style="94" customWidth="1"/>
    <col min="3" max="3" width="10.140625" style="99" bestFit="1" customWidth="1"/>
    <col min="4" max="4" width="9.140625" style="99"/>
    <col min="5" max="5" width="1.140625" style="94" customWidth="1"/>
    <col min="6" max="11" width="10.140625" style="94" customWidth="1"/>
    <col min="12" max="12" width="10.140625" style="94" bestFit="1" customWidth="1"/>
    <col min="13" max="13" width="1.42578125" style="94" customWidth="1"/>
    <col min="14" max="14" width="22.140625" style="94" customWidth="1"/>
    <col min="15" max="15" width="10.7109375" style="94" customWidth="1"/>
    <col min="16" max="16" width="11.140625" style="94" customWidth="1"/>
    <col min="17" max="16384" width="9.140625" style="94"/>
  </cols>
  <sheetData>
    <row r="1" spans="1:16" ht="30" customHeight="1" x14ac:dyDescent="0.5">
      <c r="B1" s="154" t="s">
        <v>328</v>
      </c>
      <c r="C1" s="154"/>
      <c r="D1" s="154"/>
      <c r="E1" s="154"/>
      <c r="F1" s="154"/>
      <c r="G1" s="154"/>
      <c r="H1" s="154"/>
      <c r="I1" s="154"/>
      <c r="J1" s="154"/>
      <c r="K1" s="154"/>
      <c r="L1" s="154"/>
      <c r="M1" s="95" t="s">
        <v>329</v>
      </c>
      <c r="N1" s="155" t="s">
        <v>329</v>
      </c>
      <c r="O1" s="156"/>
      <c r="P1" s="156"/>
    </row>
    <row r="2" spans="1:16" ht="15.75" thickBot="1" x14ac:dyDescent="0.3">
      <c r="A2" s="96"/>
      <c r="B2" s="97"/>
      <c r="C2" s="97"/>
      <c r="D2" s="97"/>
      <c r="E2" s="97"/>
      <c r="F2" s="97"/>
      <c r="G2" s="97"/>
      <c r="H2" s="97"/>
      <c r="I2" s="97"/>
      <c r="J2" s="97"/>
      <c r="K2" s="97"/>
      <c r="L2" s="97"/>
      <c r="M2" s="96"/>
      <c r="N2" s="98" t="s">
        <v>299</v>
      </c>
      <c r="O2" s="98" t="s">
        <v>330</v>
      </c>
      <c r="P2" s="98" t="s">
        <v>37</v>
      </c>
    </row>
    <row r="3" spans="1:16" ht="15.75" thickBot="1" x14ac:dyDescent="0.3">
      <c r="F3" s="157" t="s">
        <v>332</v>
      </c>
      <c r="G3" s="152" t="s">
        <v>333</v>
      </c>
      <c r="H3" s="159"/>
      <c r="I3" s="153"/>
      <c r="J3" s="152" t="s">
        <v>334</v>
      </c>
      <c r="K3" s="159"/>
      <c r="L3" s="153"/>
      <c r="N3" s="151"/>
      <c r="O3" s="99" t="str">
        <f>IF(Shard_Draw_Results[[#This Row],[Champion]]="","",_xlfn.XLOOKUP(Shard_Draw_Results[[#This Row],[Champion]],SD_Champions[Champion],SD_Champions[Rarity]))</f>
        <v/>
      </c>
      <c r="P3" s="99" t="str">
        <f>IF(Shard_Draw_Results[[#This Row],[Champion]]="","",IF(_xlfn.XLOOKUP(Shard_Draw_Results[[#This Row],[Champion]],SD_Champions[Champion],SD_Champions[Affinity])=0,"",_xlfn.XLOOKUP(Shard_Draw_Results[[#This Row],[Champion]],SD_Champions[Champion],SD_Champions[Affinity])))</f>
        <v/>
      </c>
    </row>
    <row r="4" spans="1:16" ht="15.75" thickBot="1" x14ac:dyDescent="0.3">
      <c r="B4" s="100" t="s">
        <v>336</v>
      </c>
      <c r="C4" s="101" t="s">
        <v>298</v>
      </c>
      <c r="D4" s="102" t="s">
        <v>337</v>
      </c>
      <c r="F4" s="158"/>
      <c r="G4" s="103" t="s">
        <v>20</v>
      </c>
      <c r="H4" s="104" t="s">
        <v>21</v>
      </c>
      <c r="I4" s="105" t="s">
        <v>263</v>
      </c>
      <c r="J4" s="103" t="s">
        <v>20</v>
      </c>
      <c r="K4" s="104" t="s">
        <v>21</v>
      </c>
      <c r="L4" s="106" t="s">
        <v>263</v>
      </c>
    </row>
    <row r="5" spans="1:16" x14ac:dyDescent="0.25">
      <c r="B5" s="107" t="s">
        <v>339</v>
      </c>
      <c r="C5" s="78"/>
      <c r="D5" s="108"/>
      <c r="F5" s="109" t="s">
        <v>339</v>
      </c>
      <c r="G5" s="110">
        <f>G6</f>
        <v>138</v>
      </c>
      <c r="H5" s="111" t="s">
        <v>340</v>
      </c>
      <c r="I5" s="112" t="s">
        <v>340</v>
      </c>
      <c r="J5" s="113">
        <v>1.4E-2</v>
      </c>
      <c r="K5" s="111" t="s">
        <v>340</v>
      </c>
      <c r="L5" s="112" t="s">
        <v>340</v>
      </c>
    </row>
    <row r="6" spans="1:16" x14ac:dyDescent="0.25">
      <c r="B6" s="114" t="s">
        <v>342</v>
      </c>
      <c r="C6" s="79"/>
      <c r="D6" s="80"/>
      <c r="F6" s="115" t="s">
        <v>342</v>
      </c>
      <c r="G6" s="110">
        <f>COUNTIF(SD_Champions[Rarity],"Rare")-(COUNTIFS(SD_Champions[Rarity],"Rare",SD_Champions[Affinity],"Void")+(COUNTIFS(SD_All_Exclusions_Rarity,"Rare")-COUNTIFS(SD_All_Exclusions_Rarity,"Rare",SD_All_Exclusions_Affinity,"Void")))</f>
        <v>138</v>
      </c>
      <c r="H6" s="116">
        <f>COUNTIF(SD_Champions[Rarity],"Epic")-(COUNTIFS(SD_Champions[Rarity],"Epic",SD_Champions[Affinity],"Void")+(COUNTIFS(SD_All_Exclusions_Rarity,"Epic")-COUNTIFS(SD_All_Exclusions_Rarity,"Epic",SD_All_Exclusions_Affinity,"Void")))</f>
        <v>144</v>
      </c>
      <c r="I6" s="117">
        <f>COUNTIF(SD_Champions[Rarity],"Legendary")-(COUNTIFS(SD_Champions[Rarity],"Legendary",SD_Champions[Affinity],"Void")+(COUNTIFS(SD_All_Exclusions_Rarity,"Legendary")-COUNTIFS(SD_All_Exclusions_Rarity,"Legendary",SD_All_Exclusions_Affinity,"Void")))</f>
        <v>92</v>
      </c>
      <c r="J6" s="118">
        <f>1-SUM(K6:L6)</f>
        <v>0.91500000000000004</v>
      </c>
      <c r="K6" s="119">
        <f>IF(D6="Yes",0.16,0.08)</f>
        <v>0.08</v>
      </c>
      <c r="L6" s="120">
        <f>IF(D6="Yes",0.01,0.005)</f>
        <v>5.0000000000000001E-3</v>
      </c>
    </row>
    <row r="7" spans="1:16" x14ac:dyDescent="0.25">
      <c r="B7" s="121" t="s">
        <v>267</v>
      </c>
      <c r="C7" s="79"/>
      <c r="D7" s="80"/>
      <c r="F7" s="122" t="s">
        <v>267</v>
      </c>
      <c r="G7" s="110">
        <f>COUNTIFS(SD_Champions[Rarity],"Rare",SD_Champions[Affinity],"Void")</f>
        <v>48</v>
      </c>
      <c r="H7" s="116">
        <f>COUNTIFS(SD_Champions[Rarity],"Epic",SD_Champions[Affinity],"Void")</f>
        <v>36</v>
      </c>
      <c r="I7" s="117">
        <f>COUNTIFS(SD_Champions[Rarity],"Legendary",SD_Champions[Affinity],"Void")</f>
        <v>30</v>
      </c>
      <c r="J7" s="118">
        <f>1-SUM(K7:L7)</f>
        <v>0.91500000000000004</v>
      </c>
      <c r="K7" s="119">
        <f>IF(D7="Yes",0.16,0.08)</f>
        <v>0.08</v>
      </c>
      <c r="L7" s="120">
        <f>IF(D7="Yes",0.01,0.005)</f>
        <v>5.0000000000000001E-3</v>
      </c>
    </row>
    <row r="8" spans="1:16" ht="15.75" thickBot="1" x14ac:dyDescent="0.3">
      <c r="B8" s="123" t="s">
        <v>345</v>
      </c>
      <c r="C8" s="81"/>
      <c r="D8" s="82"/>
      <c r="F8" s="124" t="s">
        <v>345</v>
      </c>
      <c r="G8" s="125" t="s">
        <v>340</v>
      </c>
      <c r="H8" s="126">
        <f>COUNTIF(SD_Champions[Rarity],"Epic")-(COUNTIFS(SD_Champions[Rarity],"Epic",SD_Champions[Affinity],"Void")+(COUNTIFS(SD_Sacred_Exclusions_Rarity,"Epic")-COUNTIFS(SD_Sacred_Exclusions_Rarity,"Epic",SD_Sacred_Exclusions_Affinity,"Void"))+(COUNTIFS(SD_All_Exclusions_Rarity,"Epic")-COUNTIFS(SD_All_Exclusions_Rarity,"Epic",SD_All_Exclusions_Affinity,"Void")))</f>
        <v>135</v>
      </c>
      <c r="I8" s="127">
        <f>COUNTIF(SD_Champions[Rarity],"Legendary")-(COUNTIFS(SD_Champions[Rarity],"Legendary",SD_Champions[Affinity],"Void")+COUNTIF(SD_Sacred_Exclusions_Rarity,"Legendary")+COUNTIF(SD_All_Exclusions_Rarity,"Legendary"))</f>
        <v>89</v>
      </c>
      <c r="J8" s="128" t="s">
        <v>340</v>
      </c>
      <c r="K8" s="129">
        <f>1-SD_Sacred_Legendary_Odds</f>
        <v>0.94</v>
      </c>
      <c r="L8" s="130">
        <f>IF(D8="Yes",0.12,0.06)</f>
        <v>0.06</v>
      </c>
    </row>
    <row r="9" spans="1:16" ht="15.75" thickBot="1" x14ac:dyDescent="0.3"/>
    <row r="10" spans="1:16" x14ac:dyDescent="0.25">
      <c r="B10" s="163" t="s">
        <v>348</v>
      </c>
      <c r="C10" s="164"/>
      <c r="D10" s="165"/>
      <c r="F10" s="160" t="s">
        <v>349</v>
      </c>
      <c r="G10" s="152" t="s">
        <v>350</v>
      </c>
      <c r="H10" s="159"/>
      <c r="I10" s="162"/>
      <c r="J10" s="163" t="s">
        <v>334</v>
      </c>
      <c r="K10" s="164"/>
      <c r="L10" s="165"/>
    </row>
    <row r="11" spans="1:16" ht="15.75" thickBot="1" x14ac:dyDescent="0.3">
      <c r="B11" s="83"/>
      <c r="C11" s="116" t="str">
        <f>IF(B11="","",_xlfn.XLOOKUP(B11,SD_Champions[Champion],SD_Champions[Rarity]))</f>
        <v/>
      </c>
      <c r="D11" s="117" t="str">
        <f>IF(B11="","",_xlfn.XLOOKUP(B11,SD_Champions[Champion],SD_Champions[Affinity]))</f>
        <v/>
      </c>
      <c r="F11" s="161"/>
      <c r="G11" s="103" t="s">
        <v>20</v>
      </c>
      <c r="H11" s="104" t="s">
        <v>21</v>
      </c>
      <c r="I11" s="105" t="s">
        <v>263</v>
      </c>
      <c r="J11" s="103" t="s">
        <v>20</v>
      </c>
      <c r="K11" s="104" t="s">
        <v>21</v>
      </c>
      <c r="L11" s="105" t="s">
        <v>263</v>
      </c>
    </row>
    <row r="12" spans="1:16" x14ac:dyDescent="0.25">
      <c r="B12" s="83"/>
      <c r="C12" s="116" t="str">
        <f>IF(B12="","",_xlfn.XLOOKUP(B12,SD_Champions[Champion],SD_Champions[Rarity]))</f>
        <v/>
      </c>
      <c r="D12" s="117" t="str">
        <f>IF(B12="","",_xlfn.XLOOKUP(B12,SD_Champions[Champion],SD_Champions[Affinity]))</f>
        <v/>
      </c>
      <c r="F12" s="131" t="s">
        <v>339</v>
      </c>
      <c r="G12" s="132">
        <f>G13</f>
        <v>138</v>
      </c>
      <c r="H12" s="111" t="s">
        <v>340</v>
      </c>
      <c r="I12" s="112" t="s">
        <v>340</v>
      </c>
      <c r="J12" s="113">
        <v>1.4E-2</v>
      </c>
      <c r="K12" s="111" t="s">
        <v>340</v>
      </c>
      <c r="L12" s="112" t="s">
        <v>340</v>
      </c>
    </row>
    <row r="13" spans="1:16" x14ac:dyDescent="0.25">
      <c r="B13" s="83"/>
      <c r="C13" s="116" t="str">
        <f>IF(B13="","",_xlfn.XLOOKUP(B13,SD_Champions[Champion],SD_Champions[Rarity]))</f>
        <v/>
      </c>
      <c r="D13" s="117" t="str">
        <f>IF(B13="","",_xlfn.XLOOKUP(B13,SD_Champions[Champion],SD_Champions[Affinity]))</f>
        <v/>
      </c>
      <c r="F13" s="133" t="s">
        <v>342</v>
      </c>
      <c r="G13" s="132">
        <f>G6+(COUNTIFS(SD_10x_Affinity,"&lt;&gt;Void",SD_10x_Type,"Epic")*9)</f>
        <v>138</v>
      </c>
      <c r="H13" s="116">
        <f>H6+(COUNTIFS(SD_10x_Affinity,"&lt;&gt;Void",SD_10x_Type,"Epic")*9)</f>
        <v>144</v>
      </c>
      <c r="I13" s="134">
        <f>I6+(COUNTIFS(SD_10x_Affinity,"&lt;&gt;Void",SD_10x_Type,"Legendary")*9)</f>
        <v>92</v>
      </c>
      <c r="J13" s="135" t="s">
        <v>340</v>
      </c>
      <c r="K13" s="119">
        <f>(COUNTIFS(SD_10x_Affinity,"&lt;&gt;Void",SD_10x_Type,"Epic")*10)/H13</f>
        <v>0</v>
      </c>
      <c r="L13" s="120">
        <f>(COUNTIFS(SD_10x_Affinity,"&lt;&gt;Void",SD_10x_Type,"Legendary")*10)/I13</f>
        <v>0</v>
      </c>
    </row>
    <row r="14" spans="1:16" x14ac:dyDescent="0.25">
      <c r="B14" s="83"/>
      <c r="C14" s="116" t="str">
        <f>IF(B14="","",_xlfn.XLOOKUP(B14,SD_Champions[Champion],SD_Champions[Rarity]))</f>
        <v/>
      </c>
      <c r="D14" s="117" t="str">
        <f>IF(B14="","",_xlfn.XLOOKUP(B14,SD_Champions[Champion],SD_Champions[Affinity]))</f>
        <v/>
      </c>
      <c r="F14" s="136" t="s">
        <v>267</v>
      </c>
      <c r="G14" s="132">
        <f>G7+(COUNTIFS(SD_10x_Affinity,"Void",SD_10x_Type,"Rare")*9)</f>
        <v>48</v>
      </c>
      <c r="H14" s="116">
        <f>H7+(COUNTIFS(SD_10x_Affinity,"Void",SD_10x_Type,"Epic")*9)</f>
        <v>36</v>
      </c>
      <c r="I14" s="134">
        <f>I7+(COUNTIFS(SD_10x_Affinity,"Void",SD_10x_Type,"Legendary")*9)</f>
        <v>30</v>
      </c>
      <c r="J14" s="135" t="s">
        <v>340</v>
      </c>
      <c r="K14" s="119">
        <f>(COUNTIFS(SD_10x_Affinity,"Void",SD_10x_Type,"Epic")*10)/H14</f>
        <v>0</v>
      </c>
      <c r="L14" s="120">
        <f>(COUNTIFS(SD_10x_Affinity,"Void",SD_10x_Type,"Legendary")*10)/I14</f>
        <v>0</v>
      </c>
    </row>
    <row r="15" spans="1:16" ht="15.75" thickBot="1" x14ac:dyDescent="0.3">
      <c r="B15" s="83"/>
      <c r="C15" s="116" t="str">
        <f>IF(B15="","",_xlfn.XLOOKUP(B15,SD_Champions[Champion],SD_Champions[Rarity]))</f>
        <v/>
      </c>
      <c r="D15" s="117" t="str">
        <f>IF(B15="","",_xlfn.XLOOKUP(B15,SD_Champions[Champion],SD_Champions[Affinity]))</f>
        <v/>
      </c>
      <c r="F15" s="137" t="s">
        <v>345</v>
      </c>
      <c r="G15" s="138" t="s">
        <v>340</v>
      </c>
      <c r="H15" s="126">
        <f>H8+(COUNTIFS(SD_10x_Affinity,"&lt;&gt;Void",SD_10x_Type,"Epic")*9)</f>
        <v>135</v>
      </c>
      <c r="I15" s="139">
        <f>I8+(COUNTIFS(SD_10x_Affinity,"&lt;&gt;Void",SD_10x_Type,"Legendary")*9)</f>
        <v>89</v>
      </c>
      <c r="J15" s="125" t="s">
        <v>340</v>
      </c>
      <c r="K15" s="129">
        <f>(COUNTIFS(SD_10x_Affinity,"&lt;&gt;Void",SD_10x_Type,"Epic")*10)/H15</f>
        <v>0</v>
      </c>
      <c r="L15" s="130">
        <f>(COUNTIFS(SD_10x_Affinity,"&lt;&gt;Void",SD_10x_Type,"Legendary")*10)/I15</f>
        <v>0</v>
      </c>
    </row>
    <row r="16" spans="1:16" ht="15.75" thickBot="1" x14ac:dyDescent="0.3">
      <c r="B16" s="83"/>
      <c r="C16" s="116" t="str">
        <f>IF(B16="","",_xlfn.XLOOKUP(B16,SD_Champions[Champion],SD_Champions[Rarity]))</f>
        <v/>
      </c>
      <c r="D16" s="117" t="str">
        <f>IF(B16="","",_xlfn.XLOOKUP(B16,SD_Champions[Champion],SD_Champions[Affinity]))</f>
        <v/>
      </c>
    </row>
    <row r="17" spans="2:12" x14ac:dyDescent="0.25">
      <c r="B17" s="83"/>
      <c r="C17" s="116" t="str">
        <f>IF(B17="","",_xlfn.XLOOKUP(B17,SD_Champions[Champion],SD_Champions[Rarity]))</f>
        <v/>
      </c>
      <c r="D17" s="117" t="str">
        <f>IF(B17="","",_xlfn.XLOOKUP(B17,SD_Champions[Champion],SD_Champions[Affinity]))</f>
        <v/>
      </c>
      <c r="F17" s="166" t="s">
        <v>358</v>
      </c>
      <c r="G17" s="168" t="s">
        <v>359</v>
      </c>
      <c r="H17" s="169"/>
      <c r="I17" s="168" t="s">
        <v>360</v>
      </c>
      <c r="J17" s="169"/>
      <c r="K17" s="152" t="s">
        <v>361</v>
      </c>
      <c r="L17" s="153"/>
    </row>
    <row r="18" spans="2:12" ht="15.75" thickBot="1" x14ac:dyDescent="0.3">
      <c r="B18" s="83"/>
      <c r="C18" s="116" t="str">
        <f>IF(B18="","",_xlfn.XLOOKUP(B18,SD_Champions[Champion],SD_Champions[Rarity]))</f>
        <v/>
      </c>
      <c r="D18" s="117" t="str">
        <f>IF(B18="","",_xlfn.XLOOKUP(B18,SD_Champions[Champion],SD_Champions[Affinity]))</f>
        <v/>
      </c>
      <c r="F18" s="167"/>
      <c r="G18" s="140" t="s">
        <v>21</v>
      </c>
      <c r="H18" s="105" t="s">
        <v>263</v>
      </c>
      <c r="I18" s="140" t="s">
        <v>21</v>
      </c>
      <c r="J18" s="105" t="s">
        <v>263</v>
      </c>
      <c r="K18" s="140" t="s">
        <v>21</v>
      </c>
      <c r="L18" s="105" t="s">
        <v>263</v>
      </c>
    </row>
    <row r="19" spans="2:12" x14ac:dyDescent="0.25">
      <c r="B19" s="83"/>
      <c r="C19" s="116" t="str">
        <f>IF(B19="","",_xlfn.XLOOKUP(B19,SD_Champions[Champion],SD_Champions[Rarity]))</f>
        <v/>
      </c>
      <c r="D19" s="117" t="str">
        <f>IF(B19="","",_xlfn.XLOOKUP(B19,SD_Champions[Champion],SD_Champions[Affinity]))</f>
        <v/>
      </c>
      <c r="F19" s="109" t="s">
        <v>339</v>
      </c>
      <c r="G19" s="141" t="s">
        <v>340</v>
      </c>
      <c r="H19" s="142" t="s">
        <v>340</v>
      </c>
      <c r="I19" s="141" t="s">
        <v>340</v>
      </c>
      <c r="J19" s="143" t="s">
        <v>340</v>
      </c>
      <c r="K19" s="141" t="s">
        <v>340</v>
      </c>
      <c r="L19" s="143" t="s">
        <v>340</v>
      </c>
    </row>
    <row r="20" spans="2:12" x14ac:dyDescent="0.25">
      <c r="B20" s="83"/>
      <c r="C20" s="116" t="str">
        <f>IF(B20="","",_xlfn.XLOOKUP(B20,SD_Champions[Champion],SD_Champions[Rarity]))</f>
        <v/>
      </c>
      <c r="D20" s="117" t="str">
        <f>IF(B20="","",_xlfn.XLOOKUP(B20,SD_Champions[Champion],SD_Champions[Affinity]))</f>
        <v/>
      </c>
      <c r="F20" s="115" t="s">
        <v>342</v>
      </c>
      <c r="G20" s="141">
        <v>20</v>
      </c>
      <c r="H20" s="142">
        <v>200</v>
      </c>
      <c r="I20" s="144">
        <v>0.02</v>
      </c>
      <c r="J20" s="143">
        <v>0.05</v>
      </c>
      <c r="K20" s="148"/>
      <c r="L20" s="149"/>
    </row>
    <row r="21" spans="2:12" x14ac:dyDescent="0.25">
      <c r="B21" s="83"/>
      <c r="C21" s="116" t="str">
        <f>IF(B21="","",_xlfn.XLOOKUP(B21,SD_Champions[Champion],SD_Champions[Rarity]))</f>
        <v/>
      </c>
      <c r="D21" s="117" t="str">
        <f>IF(B21="","",_xlfn.XLOOKUP(B21,SD_Champions[Champion],SD_Champions[Affinity]))</f>
        <v/>
      </c>
      <c r="F21" s="122" t="s">
        <v>267</v>
      </c>
      <c r="G21" s="141">
        <v>20</v>
      </c>
      <c r="H21" s="142">
        <v>200</v>
      </c>
      <c r="I21" s="144">
        <v>0.02</v>
      </c>
      <c r="J21" s="143">
        <v>0.05</v>
      </c>
      <c r="K21" s="148"/>
      <c r="L21" s="149"/>
    </row>
    <row r="22" spans="2:12" ht="15.75" thickBot="1" x14ac:dyDescent="0.3">
      <c r="B22" s="83"/>
      <c r="C22" s="116" t="str">
        <f>IF(B22="","",_xlfn.XLOOKUP(B22,SD_Champions[Champion],SD_Champions[Rarity]))</f>
        <v/>
      </c>
      <c r="D22" s="117" t="str">
        <f>IF(B22="","",_xlfn.XLOOKUP(B22,SD_Champions[Champion],SD_Champions[Affinity]))</f>
        <v/>
      </c>
      <c r="F22" s="124" t="s">
        <v>345</v>
      </c>
      <c r="G22" s="145" t="s">
        <v>340</v>
      </c>
      <c r="H22" s="146">
        <v>12</v>
      </c>
      <c r="I22" s="145" t="s">
        <v>340</v>
      </c>
      <c r="J22" s="147">
        <v>0.02</v>
      </c>
      <c r="K22" s="145" t="s">
        <v>340</v>
      </c>
      <c r="L22" s="150"/>
    </row>
    <row r="23" spans="2:12" x14ac:dyDescent="0.25">
      <c r="B23" s="83"/>
      <c r="C23" s="116" t="str">
        <f>IF(B23="","",_xlfn.XLOOKUP(B23,SD_Champions[Champion],SD_Champions[Rarity]))</f>
        <v/>
      </c>
      <c r="D23" s="117" t="str">
        <f>IF(B23="","",_xlfn.XLOOKUP(B23,SD_Champions[Champion],SD_Champions[Affinity]))</f>
        <v/>
      </c>
    </row>
    <row r="24" spans="2:12" ht="15" customHeight="1" x14ac:dyDescent="0.25">
      <c r="B24" s="83"/>
      <c r="C24" s="116" t="str">
        <f>IF(B24="","",_xlfn.XLOOKUP(B24,SD_Champions[Champion],SD_Champions[Rarity]))</f>
        <v/>
      </c>
      <c r="D24" s="117" t="str">
        <f>IF(B24="","",_xlfn.XLOOKUP(B24,SD_Champions[Champion],SD_Champions[Affinity]))</f>
        <v/>
      </c>
    </row>
    <row r="25" spans="2:12" ht="15.75" thickBot="1" x14ac:dyDescent="0.3">
      <c r="B25" s="84"/>
      <c r="C25" s="126" t="str">
        <f>IF(B25="","",_xlfn.XLOOKUP(B25,SD_Champions[Champion],SD_Champions[Rarity]))</f>
        <v/>
      </c>
      <c r="D25" s="127" t="str">
        <f>IF(B25="","",_xlfn.XLOOKUP(B25,SD_Champions[Champion],SD_Champions[Affinity]))</f>
        <v/>
      </c>
    </row>
  </sheetData>
  <mergeCells count="13">
    <mergeCell ref="K17:L17"/>
    <mergeCell ref="B1:L1"/>
    <mergeCell ref="N1:P1"/>
    <mergeCell ref="F3:F4"/>
    <mergeCell ref="G3:I3"/>
    <mergeCell ref="J3:L3"/>
    <mergeCell ref="F10:F11"/>
    <mergeCell ref="G10:I10"/>
    <mergeCell ref="J10:L10"/>
    <mergeCell ref="B10:D10"/>
    <mergeCell ref="F17:F18"/>
    <mergeCell ref="G17:H17"/>
    <mergeCell ref="I17:J17"/>
  </mergeCells>
  <conditionalFormatting sqref="C11:C25">
    <cfRule type="containsText" dxfId="127" priority="113" operator="containsText" text="Epic">
      <formula>NOT(ISERROR(SEARCH("Epic",C11)))</formula>
    </cfRule>
    <cfRule type="containsText" dxfId="126" priority="114" operator="containsText" text="Rare">
      <formula>NOT(ISERROR(SEARCH("Rare",C11)))</formula>
    </cfRule>
  </conditionalFormatting>
  <conditionalFormatting sqref="K11">
    <cfRule type="containsText" dxfId="125" priority="53" operator="containsText" text="Legend">
      <formula>NOT(ISERROR(SEARCH("Legend",K11)))</formula>
    </cfRule>
    <cfRule type="containsText" dxfId="124" priority="54" operator="containsText" text="Legendary">
      <formula>NOT(ISERROR(SEARCH("Legendary",K11)))</formula>
    </cfRule>
    <cfRule type="containsText" dxfId="123" priority="55" operator="containsText" text="Epic">
      <formula>NOT(ISERROR(SEARCH("Epic",K11)))</formula>
    </cfRule>
    <cfRule type="containsText" dxfId="122" priority="56" operator="containsText" text="Rare">
      <formula>NOT(ISERROR(SEARCH("Rare",K11)))</formula>
    </cfRule>
    <cfRule type="containsText" dxfId="121" priority="57" operator="containsText" text="Common">
      <formula>NOT(ISERROR(SEARCH("Common",K11)))</formula>
    </cfRule>
  </conditionalFormatting>
  <conditionalFormatting sqref="L11">
    <cfRule type="containsText" dxfId="120" priority="43" operator="containsText" text="Legend">
      <formula>NOT(ISERROR(SEARCH("Legend",L11)))</formula>
    </cfRule>
    <cfRule type="containsText" dxfId="119" priority="44" operator="containsText" text="Legendary">
      <formula>NOT(ISERROR(SEARCH("Legendary",L11)))</formula>
    </cfRule>
    <cfRule type="containsText" dxfId="118" priority="45" operator="containsText" text="Epic">
      <formula>NOT(ISERROR(SEARCH("Epic",L11)))</formula>
    </cfRule>
    <cfRule type="containsText" dxfId="117" priority="46" operator="containsText" text="Rare">
      <formula>NOT(ISERROR(SEARCH("Rare",L11)))</formula>
    </cfRule>
    <cfRule type="containsText" dxfId="116" priority="47" operator="containsText" text="Common">
      <formula>NOT(ISERROR(SEARCH("Common",L11)))</formula>
    </cfRule>
  </conditionalFormatting>
  <conditionalFormatting sqref="I4">
    <cfRule type="containsText" dxfId="115" priority="98" operator="containsText" text="Legend">
      <formula>NOT(ISERROR(SEARCH("Legend",I4)))</formula>
    </cfRule>
    <cfRule type="containsText" dxfId="114" priority="99" operator="containsText" text="Legendary">
      <formula>NOT(ISERROR(SEARCH("Legendary",I4)))</formula>
    </cfRule>
    <cfRule type="containsText" dxfId="113" priority="100" operator="containsText" text="Epic">
      <formula>NOT(ISERROR(SEARCH("Epic",I4)))</formula>
    </cfRule>
    <cfRule type="containsText" dxfId="112" priority="101" operator="containsText" text="Rare">
      <formula>NOT(ISERROR(SEARCH("Rare",I4)))</formula>
    </cfRule>
    <cfRule type="containsText" dxfId="111" priority="102" operator="containsText" text="Common">
      <formula>NOT(ISERROR(SEARCH("Common",I4)))</formula>
    </cfRule>
  </conditionalFormatting>
  <conditionalFormatting sqref="G4">
    <cfRule type="containsText" dxfId="110" priority="103" operator="containsText" text="Legend">
      <formula>NOT(ISERROR(SEARCH("Legend",G4)))</formula>
    </cfRule>
    <cfRule type="containsText" dxfId="109" priority="104" operator="containsText" text="Legendary">
      <formula>NOT(ISERROR(SEARCH("Legendary",G4)))</formula>
    </cfRule>
    <cfRule type="containsText" dxfId="108" priority="105" operator="containsText" text="Epic">
      <formula>NOT(ISERROR(SEARCH("Epic",G4)))</formula>
    </cfRule>
    <cfRule type="containsText" dxfId="107" priority="106" operator="containsText" text="Rare">
      <formula>NOT(ISERROR(SEARCH("Rare",G4)))</formula>
    </cfRule>
    <cfRule type="containsText" dxfId="106" priority="107" operator="containsText" text="Common">
      <formula>NOT(ISERROR(SEARCH("Common",G4)))</formula>
    </cfRule>
  </conditionalFormatting>
  <conditionalFormatting sqref="J4">
    <cfRule type="containsText" dxfId="105" priority="88" operator="containsText" text="Legend">
      <formula>NOT(ISERROR(SEARCH("Legend",J4)))</formula>
    </cfRule>
    <cfRule type="containsText" dxfId="104" priority="89" operator="containsText" text="Legendary">
      <formula>NOT(ISERROR(SEARCH("Legendary",J4)))</formula>
    </cfRule>
    <cfRule type="containsText" dxfId="103" priority="90" operator="containsText" text="Epic">
      <formula>NOT(ISERROR(SEARCH("Epic",J4)))</formula>
    </cfRule>
    <cfRule type="containsText" dxfId="102" priority="91" operator="containsText" text="Rare">
      <formula>NOT(ISERROR(SEARCH("Rare",J4)))</formula>
    </cfRule>
    <cfRule type="containsText" dxfId="101" priority="92" operator="containsText" text="Common">
      <formula>NOT(ISERROR(SEARCH("Common",J4)))</formula>
    </cfRule>
  </conditionalFormatting>
  <conditionalFormatting sqref="L4">
    <cfRule type="containsText" dxfId="100" priority="83" operator="containsText" text="Legend">
      <formula>NOT(ISERROR(SEARCH("Legend",L4)))</formula>
    </cfRule>
    <cfRule type="containsText" dxfId="99" priority="84" operator="containsText" text="Legendary">
      <formula>NOT(ISERROR(SEARCH("Legendary",L4)))</formula>
    </cfRule>
    <cfRule type="containsText" dxfId="98" priority="85" operator="containsText" text="Epic">
      <formula>NOT(ISERROR(SEARCH("Epic",L4)))</formula>
    </cfRule>
    <cfRule type="containsText" dxfId="97" priority="86" operator="containsText" text="Rare">
      <formula>NOT(ISERROR(SEARCH("Rare",L4)))</formula>
    </cfRule>
    <cfRule type="containsText" dxfId="96" priority="87" operator="containsText" text="Common">
      <formula>NOT(ISERROR(SEARCH("Common",L4)))</formula>
    </cfRule>
  </conditionalFormatting>
  <conditionalFormatting sqref="H4">
    <cfRule type="containsText" dxfId="95" priority="108" operator="containsText" text="Legend">
      <formula>NOT(ISERROR(SEARCH("Legend",H4)))</formula>
    </cfRule>
    <cfRule type="containsText" dxfId="94" priority="109" operator="containsText" text="Legendary">
      <formula>NOT(ISERROR(SEARCH("Legendary",H4)))</formula>
    </cfRule>
    <cfRule type="containsText" dxfId="93" priority="110" operator="containsText" text="Epic">
      <formula>NOT(ISERROR(SEARCH("Epic",H4)))</formula>
    </cfRule>
    <cfRule type="containsText" dxfId="92" priority="111" operator="containsText" text="Rare">
      <formula>NOT(ISERROR(SEARCH("Rare",H4)))</formula>
    </cfRule>
    <cfRule type="containsText" dxfId="91" priority="112" operator="containsText" text="Common">
      <formula>NOT(ISERROR(SEARCH("Common",H4)))</formula>
    </cfRule>
  </conditionalFormatting>
  <conditionalFormatting sqref="K4">
    <cfRule type="containsText" dxfId="90" priority="93" operator="containsText" text="Legend">
      <formula>NOT(ISERROR(SEARCH("Legend",K4)))</formula>
    </cfRule>
    <cfRule type="containsText" dxfId="89" priority="94" operator="containsText" text="Legendary">
      <formula>NOT(ISERROR(SEARCH("Legendary",K4)))</formula>
    </cfRule>
    <cfRule type="containsText" dxfId="88" priority="95" operator="containsText" text="Epic">
      <formula>NOT(ISERROR(SEARCH("Epic",K4)))</formula>
    </cfRule>
    <cfRule type="containsText" dxfId="87" priority="96" operator="containsText" text="Rare">
      <formula>NOT(ISERROR(SEARCH("Rare",K4)))</formula>
    </cfRule>
    <cfRule type="containsText" dxfId="86" priority="97" operator="containsText" text="Common">
      <formula>NOT(ISERROR(SEARCH("Common",K4)))</formula>
    </cfRule>
  </conditionalFormatting>
  <conditionalFormatting sqref="L18">
    <cfRule type="containsText" dxfId="85" priority="73" operator="containsText" text="Legend">
      <formula>NOT(ISERROR(SEARCH("Legend",L18)))</formula>
    </cfRule>
    <cfRule type="containsText" dxfId="84" priority="74" operator="containsText" text="Legendary">
      <formula>NOT(ISERROR(SEARCH("Legendary",L18)))</formula>
    </cfRule>
    <cfRule type="containsText" dxfId="83" priority="75" operator="containsText" text="Epic">
      <formula>NOT(ISERROR(SEARCH("Epic",L18)))</formula>
    </cfRule>
    <cfRule type="containsText" dxfId="82" priority="76" operator="containsText" text="Rare">
      <formula>NOT(ISERROR(SEARCH("Rare",L18)))</formula>
    </cfRule>
    <cfRule type="containsText" dxfId="81" priority="77" operator="containsText" text="Common">
      <formula>NOT(ISERROR(SEARCH("Common",L18)))</formula>
    </cfRule>
  </conditionalFormatting>
  <conditionalFormatting sqref="H11">
    <cfRule type="containsText" dxfId="80" priority="68" operator="containsText" text="Legend">
      <formula>NOT(ISERROR(SEARCH("Legend",H11)))</formula>
    </cfRule>
    <cfRule type="containsText" dxfId="79" priority="69" operator="containsText" text="Legendary">
      <formula>NOT(ISERROR(SEARCH("Legendary",H11)))</formula>
    </cfRule>
    <cfRule type="containsText" dxfId="78" priority="70" operator="containsText" text="Epic">
      <formula>NOT(ISERROR(SEARCH("Epic",H11)))</formula>
    </cfRule>
    <cfRule type="containsText" dxfId="77" priority="71" operator="containsText" text="Rare">
      <formula>NOT(ISERROR(SEARCH("Rare",H11)))</formula>
    </cfRule>
    <cfRule type="containsText" dxfId="76" priority="72" operator="containsText" text="Common">
      <formula>NOT(ISERROR(SEARCH("Common",H11)))</formula>
    </cfRule>
  </conditionalFormatting>
  <conditionalFormatting sqref="K18">
    <cfRule type="containsText" dxfId="75" priority="78" operator="containsText" text="Legend">
      <formula>NOT(ISERROR(SEARCH("Legend",K18)))</formula>
    </cfRule>
    <cfRule type="containsText" dxfId="74" priority="79" operator="containsText" text="Legendary">
      <formula>NOT(ISERROR(SEARCH("Legendary",K18)))</formula>
    </cfRule>
    <cfRule type="containsText" dxfId="73" priority="80" operator="containsText" text="Epic">
      <formula>NOT(ISERROR(SEARCH("Epic",K18)))</formula>
    </cfRule>
    <cfRule type="containsText" dxfId="72" priority="81" operator="containsText" text="Rare">
      <formula>NOT(ISERROR(SEARCH("Rare",K18)))</formula>
    </cfRule>
    <cfRule type="containsText" dxfId="71" priority="82" operator="containsText" text="Common">
      <formula>NOT(ISERROR(SEARCH("Common",K18)))</formula>
    </cfRule>
  </conditionalFormatting>
  <conditionalFormatting sqref="G11">
    <cfRule type="containsText" dxfId="70" priority="63" operator="containsText" text="Legend">
      <formula>NOT(ISERROR(SEARCH("Legend",G11)))</formula>
    </cfRule>
    <cfRule type="containsText" dxfId="69" priority="64" operator="containsText" text="Legendary">
      <formula>NOT(ISERROR(SEARCH("Legendary",G11)))</formula>
    </cfRule>
    <cfRule type="containsText" dxfId="68" priority="65" operator="containsText" text="Epic">
      <formula>NOT(ISERROR(SEARCH("Epic",G11)))</formula>
    </cfRule>
    <cfRule type="containsText" dxfId="67" priority="66" operator="containsText" text="Rare">
      <formula>NOT(ISERROR(SEARCH("Rare",G11)))</formula>
    </cfRule>
    <cfRule type="containsText" dxfId="66" priority="67" operator="containsText" text="Common">
      <formula>NOT(ISERROR(SEARCH("Common",G11)))</formula>
    </cfRule>
  </conditionalFormatting>
  <conditionalFormatting sqref="I11">
    <cfRule type="containsText" dxfId="65" priority="58" operator="containsText" text="Legend">
      <formula>NOT(ISERROR(SEARCH("Legend",I11)))</formula>
    </cfRule>
    <cfRule type="containsText" dxfId="64" priority="59" operator="containsText" text="Legendary">
      <formula>NOT(ISERROR(SEARCH("Legendary",I11)))</formula>
    </cfRule>
    <cfRule type="containsText" dxfId="63" priority="60" operator="containsText" text="Epic">
      <formula>NOT(ISERROR(SEARCH("Epic",I11)))</formula>
    </cfRule>
    <cfRule type="containsText" dxfId="62" priority="61" operator="containsText" text="Rare">
      <formula>NOT(ISERROR(SEARCH("Rare",I11)))</formula>
    </cfRule>
    <cfRule type="containsText" dxfId="61" priority="62" operator="containsText" text="Common">
      <formula>NOT(ISERROR(SEARCH("Common",I11)))</formula>
    </cfRule>
  </conditionalFormatting>
  <conditionalFormatting sqref="J11">
    <cfRule type="containsText" dxfId="60" priority="48" operator="containsText" text="Legend">
      <formula>NOT(ISERROR(SEARCH("Legend",J11)))</formula>
    </cfRule>
    <cfRule type="containsText" dxfId="59" priority="49" operator="containsText" text="Legendary">
      <formula>NOT(ISERROR(SEARCH("Legendary",J11)))</formula>
    </cfRule>
    <cfRule type="containsText" dxfId="58" priority="50" operator="containsText" text="Epic">
      <formula>NOT(ISERROR(SEARCH("Epic",J11)))</formula>
    </cfRule>
    <cfRule type="containsText" dxfId="57" priority="51" operator="containsText" text="Rare">
      <formula>NOT(ISERROR(SEARCH("Rare",J11)))</formula>
    </cfRule>
    <cfRule type="containsText" dxfId="56" priority="52" operator="containsText" text="Common">
      <formula>NOT(ISERROR(SEARCH("Common",J11)))</formula>
    </cfRule>
  </conditionalFormatting>
  <conditionalFormatting sqref="G18">
    <cfRule type="containsText" dxfId="55" priority="38" operator="containsText" text="Legend">
      <formula>NOT(ISERROR(SEARCH("Legend",G18)))</formula>
    </cfRule>
    <cfRule type="containsText" dxfId="54" priority="39" operator="containsText" text="Legendary">
      <formula>NOT(ISERROR(SEARCH("Legendary",G18)))</formula>
    </cfRule>
    <cfRule type="containsText" dxfId="53" priority="40" operator="containsText" text="Epic">
      <formula>NOT(ISERROR(SEARCH("Epic",G18)))</formula>
    </cfRule>
    <cfRule type="containsText" dxfId="52" priority="41" operator="containsText" text="Rare">
      <formula>NOT(ISERROR(SEARCH("Rare",G18)))</formula>
    </cfRule>
    <cfRule type="containsText" dxfId="51" priority="42" operator="containsText" text="Common">
      <formula>NOT(ISERROR(SEARCH("Common",G18)))</formula>
    </cfRule>
  </conditionalFormatting>
  <conditionalFormatting sqref="H18">
    <cfRule type="containsText" dxfId="50" priority="33" operator="containsText" text="Legend">
      <formula>NOT(ISERROR(SEARCH("Legend",H18)))</formula>
    </cfRule>
    <cfRule type="containsText" dxfId="49" priority="34" operator="containsText" text="Legendary">
      <formula>NOT(ISERROR(SEARCH("Legendary",H18)))</formula>
    </cfRule>
    <cfRule type="containsText" dxfId="48" priority="35" operator="containsText" text="Epic">
      <formula>NOT(ISERROR(SEARCH("Epic",H18)))</formula>
    </cfRule>
    <cfRule type="containsText" dxfId="47" priority="36" operator="containsText" text="Rare">
      <formula>NOT(ISERROR(SEARCH("Rare",H18)))</formula>
    </cfRule>
    <cfRule type="containsText" dxfId="46" priority="37" operator="containsText" text="Common">
      <formula>NOT(ISERROR(SEARCH("Common",H18)))</formula>
    </cfRule>
  </conditionalFormatting>
  <conditionalFormatting sqref="I18">
    <cfRule type="containsText" dxfId="45" priority="28" operator="containsText" text="Legend">
      <formula>NOT(ISERROR(SEARCH("Legend",I18)))</formula>
    </cfRule>
    <cfRule type="containsText" dxfId="44" priority="29" operator="containsText" text="Legendary">
      <formula>NOT(ISERROR(SEARCH("Legendary",I18)))</formula>
    </cfRule>
    <cfRule type="containsText" dxfId="43" priority="30" operator="containsText" text="Epic">
      <formula>NOT(ISERROR(SEARCH("Epic",I18)))</formula>
    </cfRule>
    <cfRule type="containsText" dxfId="42" priority="31" operator="containsText" text="Rare">
      <formula>NOT(ISERROR(SEARCH("Rare",I18)))</formula>
    </cfRule>
    <cfRule type="containsText" dxfId="41" priority="32" operator="containsText" text="Common">
      <formula>NOT(ISERROR(SEARCH("Common",I18)))</formula>
    </cfRule>
  </conditionalFormatting>
  <conditionalFormatting sqref="J18">
    <cfRule type="containsText" dxfId="40" priority="23" operator="containsText" text="Legend">
      <formula>NOT(ISERROR(SEARCH("Legend",J18)))</formula>
    </cfRule>
    <cfRule type="containsText" dxfId="39" priority="24" operator="containsText" text="Legendary">
      <formula>NOT(ISERROR(SEARCH("Legendary",J18)))</formula>
    </cfRule>
    <cfRule type="containsText" dxfId="38" priority="25" operator="containsText" text="Epic">
      <formula>NOT(ISERROR(SEARCH("Epic",J18)))</formula>
    </cfRule>
    <cfRule type="containsText" dxfId="37" priority="26" operator="containsText" text="Rare">
      <formula>NOT(ISERROR(SEARCH("Rare",J18)))</formula>
    </cfRule>
    <cfRule type="containsText" dxfId="36" priority="27" operator="containsText" text="Common">
      <formula>NOT(ISERROR(SEARCH("Common",J18)))</formula>
    </cfRule>
  </conditionalFormatting>
  <conditionalFormatting sqref="C11:C25">
    <cfRule type="containsText" dxfId="35" priority="22" operator="containsText" text="Legendary">
      <formula>NOT(ISERROR(SEARCH("Legendary",C11)))</formula>
    </cfRule>
  </conditionalFormatting>
  <conditionalFormatting sqref="D11:D25">
    <cfRule type="containsText" dxfId="34" priority="18" operator="containsText" text="Void">
      <formula>NOT(ISERROR(SEARCH("Void",D11)))</formula>
    </cfRule>
    <cfRule type="containsText" dxfId="33" priority="19" operator="containsText" text="Spirit">
      <formula>NOT(ISERROR(SEARCH("Spirit",D11)))</formula>
    </cfRule>
    <cfRule type="containsText" dxfId="32" priority="20" operator="containsText" text="Force">
      <formula>NOT(ISERROR(SEARCH("Force",D11)))</formula>
    </cfRule>
    <cfRule type="containsText" dxfId="31" priority="21" operator="containsText" text="Magic">
      <formula>NOT(ISERROR(SEARCH("Magic",D11)))</formula>
    </cfRule>
  </conditionalFormatting>
  <conditionalFormatting sqref="O3">
    <cfRule type="containsText" dxfId="30" priority="5" operator="containsText" text="Legend">
      <formula>NOT(ISERROR(SEARCH("Legend",O3)))</formula>
    </cfRule>
    <cfRule type="containsText" dxfId="29" priority="6" operator="containsText" text="Legendary">
      <formula>NOT(ISERROR(SEARCH("Legendary",O3)))</formula>
    </cfRule>
    <cfRule type="containsText" dxfId="28" priority="7" operator="containsText" text="Epic">
      <formula>NOT(ISERROR(SEARCH("Epic",O3)))</formula>
    </cfRule>
    <cfRule type="containsText" dxfId="27" priority="8" operator="containsText" text="Rare">
      <formula>NOT(ISERROR(SEARCH("Rare",O3)))</formula>
    </cfRule>
    <cfRule type="containsText" dxfId="26" priority="9" operator="containsText" text="Common">
      <formula>NOT(ISERROR(SEARCH("Common",O3)))</formula>
    </cfRule>
  </conditionalFormatting>
  <conditionalFormatting sqref="P3">
    <cfRule type="containsText" dxfId="25" priority="1" operator="containsText" text="Void">
      <formula>NOT(ISERROR(SEARCH("Void",P3)))</formula>
    </cfRule>
    <cfRule type="containsText" dxfId="24" priority="2" operator="containsText" text="Spirit">
      <formula>NOT(ISERROR(SEARCH("Spirit",P3)))</formula>
    </cfRule>
    <cfRule type="containsText" dxfId="23" priority="3" operator="containsText" text="Force">
      <formula>NOT(ISERROR(SEARCH("Force",P3)))</formula>
    </cfRule>
    <cfRule type="containsText" dxfId="22" priority="4" operator="containsText" text="Magic">
      <formula>NOT(ISERROR(SEARCH("Magic",P3)))</formula>
    </cfRule>
  </conditionalFormatting>
  <dataValidations count="1">
    <dataValidation type="list" allowBlank="1" showInputMessage="1" showErrorMessage="1" sqref="D6:D8" xr:uid="{DA59A7E9-A979-4626-BCF6-15C587064B73}">
      <formula1>"Yes, No"</formula1>
    </dataValidation>
  </dataValidations>
  <pageMargins left="0.7" right="0.7" top="0.75" bottom="0.75" header="0.3" footer="0.3"/>
  <pageSetup paperSize="9" orientation="portrait" horizontalDpi="0" verticalDpi="0"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tint="0.59999389629810485"/>
  </sheetPr>
  <dimension ref="A1:BT586"/>
  <sheetViews>
    <sheetView zoomScaleNormal="100" workbookViewId="0">
      <selection activeCell="B14" sqref="B14"/>
    </sheetView>
  </sheetViews>
  <sheetFormatPr defaultRowHeight="15" x14ac:dyDescent="0.25"/>
  <cols>
    <col min="1" max="1" width="38" style="8" bestFit="1" customWidth="1"/>
    <col min="2" max="2" width="12.140625" customWidth="1"/>
    <col min="3" max="3" width="12.28515625" bestFit="1" customWidth="1"/>
    <col min="4" max="4" width="1.140625" customWidth="1"/>
    <col min="5" max="5" width="7.42578125" bestFit="1" customWidth="1"/>
    <col min="6" max="6" width="3.7109375" bestFit="1" customWidth="1"/>
    <col min="10" max="10" width="3.7109375" bestFit="1" customWidth="1"/>
    <col min="14" max="14" width="1.7109375" customWidth="1"/>
    <col min="17" max="17" width="1.7109375" customWidth="1"/>
    <col min="25" max="25" width="1.28515625" customWidth="1"/>
    <col min="26" max="26" width="10.42578125" bestFit="1" customWidth="1"/>
    <col min="28" max="28" width="9.140625" customWidth="1"/>
    <col min="29" max="29" width="1" customWidth="1"/>
    <col min="30" max="31" width="9.28515625" bestFit="1" customWidth="1"/>
    <col min="32" max="32" width="9.5703125" bestFit="1" customWidth="1"/>
    <col min="33" max="33" width="9.28515625" bestFit="1" customWidth="1"/>
    <col min="34" max="34" width="10.42578125" bestFit="1" customWidth="1"/>
    <col min="35" max="35" width="1" customWidth="1"/>
    <col min="40" max="40" width="10.42578125" bestFit="1" customWidth="1"/>
    <col min="42" max="42" width="26.7109375" bestFit="1" customWidth="1"/>
    <col min="43" max="44" width="9.28515625" bestFit="1" customWidth="1"/>
    <col min="45" max="45" width="8.85546875" bestFit="1" customWidth="1"/>
    <col min="46" max="46" width="13.140625" bestFit="1" customWidth="1"/>
    <col min="47" max="47" width="10.5703125" bestFit="1" customWidth="1"/>
    <col min="48" max="48" width="8.85546875" bestFit="1" customWidth="1"/>
    <col min="49" max="49" width="13.140625" bestFit="1" customWidth="1"/>
    <col min="50" max="50" width="10.5703125" bestFit="1" customWidth="1"/>
    <col min="51" max="51" width="8.85546875" bestFit="1" customWidth="1"/>
    <col min="52" max="52" width="13.140625" bestFit="1" customWidth="1"/>
    <col min="53" max="53" width="10.5703125" bestFit="1" customWidth="1"/>
    <col min="54" max="54" width="8.85546875" bestFit="1" customWidth="1"/>
    <col min="55" max="55" width="13.140625" bestFit="1" customWidth="1"/>
    <col min="56" max="56" width="10.5703125" bestFit="1" customWidth="1"/>
    <col min="57" max="57" width="8.85546875" bestFit="1" customWidth="1"/>
    <col min="58" max="58" width="13.140625" bestFit="1" customWidth="1"/>
    <col min="59" max="59" width="8.85546875" bestFit="1" customWidth="1"/>
    <col min="60" max="60" width="13.140625" bestFit="1" customWidth="1"/>
    <col min="61" max="61" width="1.42578125" customWidth="1"/>
    <col min="62" max="62" width="38" bestFit="1" customWidth="1"/>
    <col min="63" max="63" width="12.140625" customWidth="1"/>
    <col min="64" max="64" width="12.28515625" bestFit="1" customWidth="1"/>
    <col min="66" max="66" width="18.7109375" bestFit="1" customWidth="1"/>
    <col min="70" max="70" width="20" bestFit="1" customWidth="1"/>
    <col min="71" max="71" width="10.140625" bestFit="1" customWidth="1"/>
  </cols>
  <sheetData>
    <row r="1" spans="1:72" x14ac:dyDescent="0.25">
      <c r="A1" s="1" t="s">
        <v>0</v>
      </c>
      <c r="G1" s="2" t="s">
        <v>1</v>
      </c>
      <c r="H1" s="2" t="s">
        <v>2</v>
      </c>
      <c r="I1" s="2" t="s">
        <v>3</v>
      </c>
      <c r="J1" s="2"/>
      <c r="K1" s="2" t="s">
        <v>4</v>
      </c>
      <c r="L1" s="2" t="s">
        <v>5</v>
      </c>
      <c r="M1" s="2" t="s">
        <v>6</v>
      </c>
      <c r="O1" s="2" t="s">
        <v>278</v>
      </c>
      <c r="P1" s="2" t="s">
        <v>279</v>
      </c>
      <c r="Q1" s="3" t="s">
        <v>7</v>
      </c>
      <c r="S1" s="4" t="s">
        <v>280</v>
      </c>
      <c r="T1" s="4" t="s">
        <v>281</v>
      </c>
      <c r="U1" s="4" t="s">
        <v>282</v>
      </c>
      <c r="V1" s="4" t="s">
        <v>283</v>
      </c>
      <c r="W1" s="4" t="s">
        <v>284</v>
      </c>
      <c r="X1" s="4" t="s">
        <v>285</v>
      </c>
      <c r="Z1" s="2" t="s">
        <v>286</v>
      </c>
      <c r="AA1" s="2" t="s">
        <v>287</v>
      </c>
      <c r="AB1" s="2" t="s">
        <v>288</v>
      </c>
      <c r="AD1" s="2" t="s">
        <v>289</v>
      </c>
      <c r="AE1" s="2" t="s">
        <v>290</v>
      </c>
      <c r="AF1" s="2" t="s">
        <v>291</v>
      </c>
      <c r="AG1" s="2" t="s">
        <v>292</v>
      </c>
      <c r="AH1" s="2" t="s">
        <v>293</v>
      </c>
      <c r="AK1" s="2" t="s">
        <v>294</v>
      </c>
      <c r="AL1" s="2" t="s">
        <v>295</v>
      </c>
      <c r="AM1" s="2" t="s">
        <v>296</v>
      </c>
      <c r="AN1" s="2" t="s">
        <v>297</v>
      </c>
      <c r="AP1" s="2" t="s">
        <v>326</v>
      </c>
      <c r="AQ1" s="2"/>
      <c r="AR1" s="2"/>
      <c r="AS1" s="2"/>
      <c r="AT1" s="2"/>
      <c r="AU1" s="2"/>
      <c r="AV1" s="2"/>
      <c r="AW1" s="2"/>
      <c r="AX1" s="2"/>
      <c r="AY1" s="2"/>
      <c r="AZ1" s="2"/>
      <c r="BA1" s="2"/>
      <c r="BB1" s="2"/>
      <c r="BC1" s="2"/>
      <c r="BD1" s="2"/>
      <c r="BE1" s="2"/>
      <c r="BF1" s="2"/>
      <c r="BG1" s="2"/>
      <c r="BH1" s="2"/>
      <c r="BJ1" s="173" t="s">
        <v>929</v>
      </c>
      <c r="BK1" s="173"/>
      <c r="BL1" s="173"/>
      <c r="BN1" s="173" t="s">
        <v>931</v>
      </c>
      <c r="BO1" s="173"/>
      <c r="BP1" s="173"/>
      <c r="BR1" s="173" t="s">
        <v>932</v>
      </c>
      <c r="BS1" s="173"/>
      <c r="BT1" s="173"/>
    </row>
    <row r="2" spans="1:72" ht="15.75" thickBot="1" x14ac:dyDescent="0.3">
      <c r="A2" s="5" t="s">
        <v>8</v>
      </c>
    </row>
    <row r="3" spans="1:72" ht="15.75" thickBot="1" x14ac:dyDescent="0.3">
      <c r="A3" s="7" t="s">
        <v>9</v>
      </c>
      <c r="E3" s="177" t="s">
        <v>10</v>
      </c>
      <c r="F3" s="178"/>
      <c r="G3" s="171"/>
      <c r="H3" s="171"/>
      <c r="I3" s="171"/>
      <c r="J3" s="171"/>
      <c r="K3" s="171"/>
      <c r="L3" s="171"/>
      <c r="M3" s="172"/>
      <c r="O3" s="180" t="s">
        <v>11</v>
      </c>
      <c r="P3" s="181"/>
      <c r="R3" s="177" t="s">
        <v>12</v>
      </c>
      <c r="S3" s="178"/>
      <c r="T3" s="178"/>
      <c r="U3" s="178"/>
      <c r="V3" s="178"/>
      <c r="W3" s="178"/>
      <c r="X3" s="179"/>
      <c r="Z3" s="177" t="s">
        <v>13</v>
      </c>
      <c r="AA3" s="178"/>
      <c r="AB3" s="179"/>
      <c r="AD3" s="170" t="s">
        <v>14</v>
      </c>
      <c r="AE3" s="171"/>
      <c r="AF3" s="171"/>
      <c r="AG3" s="171"/>
      <c r="AH3" s="172"/>
      <c r="AJ3" s="177" t="s">
        <v>15</v>
      </c>
      <c r="AK3" s="178"/>
      <c r="AL3" s="178"/>
      <c r="AM3" s="178"/>
      <c r="AN3" s="179"/>
      <c r="AP3" s="170" t="s">
        <v>327</v>
      </c>
      <c r="AQ3" s="171"/>
      <c r="AR3" s="171"/>
      <c r="AS3" s="171"/>
      <c r="AT3" s="171"/>
      <c r="AU3" s="171"/>
      <c r="AV3" s="171"/>
      <c r="AW3" s="171"/>
      <c r="AX3" s="171"/>
      <c r="AY3" s="171"/>
      <c r="AZ3" s="171"/>
      <c r="BA3" s="171"/>
      <c r="BB3" s="171"/>
      <c r="BC3" s="171"/>
      <c r="BD3" s="171"/>
      <c r="BE3" s="171"/>
      <c r="BF3" s="171"/>
      <c r="BG3" s="171"/>
      <c r="BH3" s="172"/>
      <c r="BJ3" s="170" t="s">
        <v>930</v>
      </c>
      <c r="BK3" s="171"/>
      <c r="BL3" s="172"/>
      <c r="BN3" s="170" t="s">
        <v>368</v>
      </c>
      <c r="BO3" s="171"/>
      <c r="BP3" s="172"/>
      <c r="BR3" s="170" t="s">
        <v>379</v>
      </c>
      <c r="BS3" s="171"/>
      <c r="BT3" s="172"/>
    </row>
    <row r="4" spans="1:72" ht="15.75" thickBot="1" x14ac:dyDescent="0.3">
      <c r="E4" s="170" t="s">
        <v>16</v>
      </c>
      <c r="F4" s="172"/>
      <c r="G4" s="9" t="s">
        <v>17</v>
      </c>
      <c r="H4" s="10" t="s">
        <v>18</v>
      </c>
      <c r="I4" s="11" t="s">
        <v>19</v>
      </c>
      <c r="J4" s="12"/>
      <c r="K4" s="9" t="s">
        <v>17</v>
      </c>
      <c r="L4" s="10" t="s">
        <v>18</v>
      </c>
      <c r="M4" s="11" t="s">
        <v>19</v>
      </c>
      <c r="O4" s="13" t="s">
        <v>20</v>
      </c>
      <c r="P4" s="13" t="s">
        <v>21</v>
      </c>
      <c r="R4" s="14" t="s">
        <v>22</v>
      </c>
      <c r="S4" s="15" t="s">
        <v>23</v>
      </c>
      <c r="T4" s="15" t="s">
        <v>24</v>
      </c>
      <c r="U4" s="15" t="s">
        <v>25</v>
      </c>
      <c r="V4" s="15" t="s">
        <v>26</v>
      </c>
      <c r="W4" s="15" t="s">
        <v>27</v>
      </c>
      <c r="X4" s="16" t="s">
        <v>28</v>
      </c>
      <c r="Z4" s="14" t="s">
        <v>29</v>
      </c>
      <c r="AA4" s="17" t="s">
        <v>30</v>
      </c>
      <c r="AB4" s="16" t="s">
        <v>31</v>
      </c>
      <c r="AD4" s="18" t="s">
        <v>32</v>
      </c>
      <c r="AE4" s="19" t="s">
        <v>33</v>
      </c>
      <c r="AF4" s="19" t="s">
        <v>34</v>
      </c>
      <c r="AG4" s="19" t="s">
        <v>35</v>
      </c>
      <c r="AH4" s="20" t="s">
        <v>36</v>
      </c>
      <c r="AJ4" s="18" t="s">
        <v>32</v>
      </c>
      <c r="AK4" s="19" t="s">
        <v>33</v>
      </c>
      <c r="AL4" s="19" t="s">
        <v>34</v>
      </c>
      <c r="AM4" s="19" t="s">
        <v>35</v>
      </c>
      <c r="AN4" s="20" t="s">
        <v>36</v>
      </c>
      <c r="AP4" s="70" t="s">
        <v>314</v>
      </c>
      <c r="AQ4" s="73" t="s">
        <v>269</v>
      </c>
      <c r="AR4" s="74" t="s">
        <v>270</v>
      </c>
      <c r="AS4" s="71" t="s">
        <v>315</v>
      </c>
      <c r="AT4" s="71" t="s">
        <v>316</v>
      </c>
      <c r="AU4" s="71" t="s">
        <v>317</v>
      </c>
      <c r="AV4" s="71" t="s">
        <v>309</v>
      </c>
      <c r="AW4" s="71" t="s">
        <v>318</v>
      </c>
      <c r="AX4" s="71" t="s">
        <v>319</v>
      </c>
      <c r="AY4" s="71" t="s">
        <v>320</v>
      </c>
      <c r="AZ4" s="71" t="s">
        <v>310</v>
      </c>
      <c r="BA4" s="71" t="s">
        <v>321</v>
      </c>
      <c r="BB4" s="71" t="s">
        <v>322</v>
      </c>
      <c r="BC4" s="71" t="s">
        <v>323</v>
      </c>
      <c r="BD4" s="71" t="s">
        <v>311</v>
      </c>
      <c r="BE4" s="71" t="s">
        <v>312</v>
      </c>
      <c r="BF4" s="71" t="s">
        <v>324</v>
      </c>
      <c r="BG4" s="71" t="s">
        <v>325</v>
      </c>
      <c r="BH4" s="71" t="s">
        <v>313</v>
      </c>
      <c r="BJ4" s="89" t="s">
        <v>299</v>
      </c>
      <c r="BK4" s="90" t="s">
        <v>330</v>
      </c>
      <c r="BL4" s="90" t="s">
        <v>37</v>
      </c>
      <c r="BN4" s="85" t="s">
        <v>369</v>
      </c>
      <c r="BO4" s="30" t="str">
        <f>IF(BN4="","",_xlfn.XLOOKUP(BN4,SD_Champions[Champion],SD_Champions[Rarity]))</f>
        <v>Epic</v>
      </c>
      <c r="BP4" s="28" t="str">
        <f>IF(BN4="","",_xlfn.XLOOKUP(BN4,SD_Champions[Champion],SD_Champions[Affinity]))</f>
        <v>Force</v>
      </c>
      <c r="BR4" s="87" t="s">
        <v>380</v>
      </c>
      <c r="BS4" s="30" t="str">
        <f>IF(BR4="","",_xlfn.XLOOKUP(BR4,SD_Champions[Champion],SD_Champions[Rarity]))</f>
        <v>Legendary</v>
      </c>
      <c r="BT4" s="28" t="str">
        <f>IF(BR4="","",_xlfn.XLOOKUP(BR4,SD_Champions[Champion],SD_Champions[Affinity]))</f>
        <v>Void</v>
      </c>
    </row>
    <row r="5" spans="1:72" x14ac:dyDescent="0.25">
      <c r="E5" s="21">
        <v>1</v>
      </c>
      <c r="F5" s="174" t="s">
        <v>37</v>
      </c>
      <c r="G5" s="23">
        <v>2</v>
      </c>
      <c r="H5" s="24"/>
      <c r="I5" s="25"/>
      <c r="J5" s="174" t="s">
        <v>38</v>
      </c>
      <c r="K5" s="23">
        <v>2</v>
      </c>
      <c r="L5" s="24"/>
      <c r="M5" s="25"/>
      <c r="O5" s="26"/>
      <c r="P5" s="26"/>
      <c r="R5" s="22">
        <v>1</v>
      </c>
      <c r="S5" s="27">
        <v>897</v>
      </c>
      <c r="T5" s="27">
        <v>1110</v>
      </c>
      <c r="U5" s="27">
        <v>1279</v>
      </c>
      <c r="V5" s="27">
        <v>1460</v>
      </c>
      <c r="W5" s="27">
        <v>1625</v>
      </c>
      <c r="X5" s="28">
        <v>1813</v>
      </c>
      <c r="Z5" s="29" t="s">
        <v>33</v>
      </c>
      <c r="AA5" s="30">
        <v>4</v>
      </c>
      <c r="AB5" s="28">
        <v>5</v>
      </c>
      <c r="AD5" s="31" t="s">
        <v>39</v>
      </c>
      <c r="AE5" s="32">
        <v>640</v>
      </c>
      <c r="AF5" s="32">
        <v>4560</v>
      </c>
      <c r="AG5" s="32">
        <v>9600</v>
      </c>
      <c r="AH5" s="33">
        <v>21312</v>
      </c>
      <c r="AI5" s="34"/>
      <c r="AJ5" s="31" t="s">
        <v>39</v>
      </c>
      <c r="AK5" s="32">
        <v>750</v>
      </c>
      <c r="AL5" s="32">
        <v>4500</v>
      </c>
      <c r="AM5" s="32">
        <v>5500</v>
      </c>
      <c r="AN5" s="33">
        <v>8500</v>
      </c>
      <c r="AP5" s="77"/>
      <c r="AQ5" s="75"/>
      <c r="AR5" s="76"/>
      <c r="AS5" s="72"/>
      <c r="AT5" s="72"/>
      <c r="AU5" s="72"/>
      <c r="AV5" s="72"/>
      <c r="AW5" s="72"/>
      <c r="AX5" s="72"/>
      <c r="AY5" s="72"/>
      <c r="AZ5" s="72"/>
      <c r="BA5" s="72"/>
      <c r="BB5" s="72"/>
      <c r="BC5" s="72"/>
      <c r="BD5" s="72"/>
      <c r="BE5" s="72"/>
      <c r="BF5" s="72"/>
      <c r="BG5" s="72"/>
      <c r="BH5" s="72"/>
      <c r="BJ5" s="91" t="s">
        <v>747</v>
      </c>
      <c r="BK5" s="92" t="s">
        <v>20</v>
      </c>
      <c r="BL5" s="93" t="s">
        <v>266</v>
      </c>
      <c r="BN5" s="86" t="s">
        <v>370</v>
      </c>
      <c r="BO5" s="36" t="str">
        <f>IF(BN5="","",_xlfn.XLOOKUP(BN5,SD_Champions[Champion],SD_Champions[Rarity]))</f>
        <v>Epic</v>
      </c>
      <c r="BP5" s="37" t="str">
        <f>IF(BN5="","",_xlfn.XLOOKUP(BN5,SD_Champions[Champion],SD_Champions[Affinity]))</f>
        <v>Spirit</v>
      </c>
      <c r="BR5" s="83" t="s">
        <v>381</v>
      </c>
      <c r="BS5" s="36" t="str">
        <f>IF(BR5="","",_xlfn.XLOOKUP(BR5,SD_Champions[Champion],SD_Champions[Rarity]))</f>
        <v>Epic</v>
      </c>
      <c r="BT5" s="37" t="str">
        <f>IF(BR5="","",_xlfn.XLOOKUP(BR5,SD_Champions[Champion],SD_Champions[Affinity]))</f>
        <v>Magic</v>
      </c>
    </row>
    <row r="6" spans="1:72" x14ac:dyDescent="0.25">
      <c r="A6" s="8" t="s">
        <v>61</v>
      </c>
      <c r="E6" s="38">
        <v>2</v>
      </c>
      <c r="F6" s="175"/>
      <c r="G6" s="35">
        <v>2</v>
      </c>
      <c r="H6" s="36"/>
      <c r="I6" s="37"/>
      <c r="J6" s="175"/>
      <c r="K6" s="35">
        <v>2</v>
      </c>
      <c r="L6" s="36"/>
      <c r="M6" s="37"/>
      <c r="O6" s="39" t="s">
        <v>40</v>
      </c>
      <c r="P6" s="40" t="s">
        <v>41</v>
      </c>
      <c r="R6" s="41">
        <v>2</v>
      </c>
      <c r="S6" s="42">
        <v>1118</v>
      </c>
      <c r="T6" s="42">
        <v>1258</v>
      </c>
      <c r="U6" s="42">
        <v>1411</v>
      </c>
      <c r="V6" s="42">
        <v>1591</v>
      </c>
      <c r="W6" s="42">
        <v>1760</v>
      </c>
      <c r="X6" s="37">
        <v>1956</v>
      </c>
      <c r="Z6" s="35" t="s">
        <v>34</v>
      </c>
      <c r="AA6" s="36">
        <v>6</v>
      </c>
      <c r="AB6" s="37">
        <v>7</v>
      </c>
      <c r="AD6" s="31" t="s">
        <v>42</v>
      </c>
      <c r="AE6" s="32">
        <v>1600</v>
      </c>
      <c r="AF6" s="32">
        <v>4584</v>
      </c>
      <c r="AG6" s="32">
        <v>9600</v>
      </c>
      <c r="AH6" s="33">
        <v>21312</v>
      </c>
      <c r="AI6" s="34"/>
      <c r="AJ6" s="31" t="s">
        <v>42</v>
      </c>
      <c r="AK6" s="32">
        <v>800</v>
      </c>
      <c r="AL6" s="32">
        <v>4550</v>
      </c>
      <c r="AM6" s="32">
        <v>5550</v>
      </c>
      <c r="AN6" s="33">
        <v>8585</v>
      </c>
      <c r="AP6" s="77"/>
      <c r="AQ6" s="75"/>
      <c r="AR6" s="76"/>
      <c r="AS6" s="72"/>
      <c r="AT6" s="72"/>
      <c r="AU6" s="72"/>
      <c r="AV6" s="72"/>
      <c r="AW6" s="72"/>
      <c r="AX6" s="72"/>
      <c r="AY6" s="72"/>
      <c r="AZ6" s="72"/>
      <c r="BA6" s="72"/>
      <c r="BB6" s="72"/>
      <c r="BC6" s="72"/>
      <c r="BD6" s="72"/>
      <c r="BE6" s="72"/>
      <c r="BF6" s="72"/>
      <c r="BG6" s="72"/>
      <c r="BH6" s="72"/>
      <c r="BJ6" s="91" t="s">
        <v>780</v>
      </c>
      <c r="BK6" s="92" t="s">
        <v>21</v>
      </c>
      <c r="BL6" s="93" t="s">
        <v>264</v>
      </c>
      <c r="BN6" s="86" t="s">
        <v>371</v>
      </c>
      <c r="BO6" s="36" t="str">
        <f>IF(BN6="","",_xlfn.XLOOKUP(BN6,SD_Champions[Champion],SD_Champions[Rarity]))</f>
        <v>Epic</v>
      </c>
      <c r="BP6" s="37" t="str">
        <f>IF(BN6="","",_xlfn.XLOOKUP(BN6,SD_Champions[Champion],SD_Champions[Affinity]))</f>
        <v>Spirit</v>
      </c>
      <c r="BR6" s="83" t="s">
        <v>382</v>
      </c>
      <c r="BS6" s="36" t="str">
        <f>IF(BR6="","",_xlfn.XLOOKUP(BR6,SD_Champions[Champion],SD_Champions[Rarity]))</f>
        <v>Epic</v>
      </c>
      <c r="BT6" s="37" t="str">
        <f>IF(BR6="","",_xlfn.XLOOKUP(BR6,SD_Champions[Champion],SD_Champions[Affinity]))</f>
        <v>Magic</v>
      </c>
    </row>
    <row r="7" spans="1:72" x14ac:dyDescent="0.25">
      <c r="A7" s="52" t="s">
        <v>271</v>
      </c>
      <c r="B7" s="53" t="b">
        <v>1</v>
      </c>
      <c r="E7" s="38">
        <v>3</v>
      </c>
      <c r="F7" s="175"/>
      <c r="G7" s="35">
        <v>3</v>
      </c>
      <c r="H7" s="36"/>
      <c r="I7" s="37"/>
      <c r="J7" s="175"/>
      <c r="K7" s="35">
        <v>3</v>
      </c>
      <c r="L7" s="36"/>
      <c r="M7" s="37"/>
      <c r="O7" s="43" t="s">
        <v>43</v>
      </c>
      <c r="P7" s="44" t="s">
        <v>44</v>
      </c>
      <c r="R7" s="41">
        <v>3</v>
      </c>
      <c r="S7" s="42">
        <v>1393</v>
      </c>
      <c r="T7" s="42">
        <v>1426</v>
      </c>
      <c r="U7" s="42">
        <v>1556</v>
      </c>
      <c r="V7" s="42">
        <v>1734</v>
      </c>
      <c r="W7" s="42">
        <v>1907</v>
      </c>
      <c r="X7" s="37">
        <v>2110</v>
      </c>
      <c r="Z7" s="35" t="s">
        <v>35</v>
      </c>
      <c r="AA7" s="36">
        <v>8</v>
      </c>
      <c r="AB7" s="37">
        <v>9</v>
      </c>
      <c r="AD7" s="31" t="s">
        <v>45</v>
      </c>
      <c r="AE7" s="32">
        <v>1606</v>
      </c>
      <c r="AF7" s="32">
        <v>4606</v>
      </c>
      <c r="AG7" s="32">
        <v>9600</v>
      </c>
      <c r="AH7" s="33">
        <v>21312</v>
      </c>
      <c r="AI7" s="34"/>
      <c r="AJ7" s="31" t="s">
        <v>45</v>
      </c>
      <c r="AK7" s="32">
        <v>850</v>
      </c>
      <c r="AL7" s="32">
        <v>4600</v>
      </c>
      <c r="AM7" s="32">
        <v>5600</v>
      </c>
      <c r="AN7" s="33">
        <v>8671</v>
      </c>
      <c r="AP7" s="77"/>
      <c r="AQ7" s="75"/>
      <c r="AR7" s="76"/>
      <c r="AS7" s="72"/>
      <c r="AT7" s="72"/>
      <c r="AU7" s="72"/>
      <c r="AV7" s="72"/>
      <c r="AW7" s="72"/>
      <c r="AX7" s="72"/>
      <c r="AY7" s="72"/>
      <c r="AZ7" s="72"/>
      <c r="BA7" s="72"/>
      <c r="BB7" s="72"/>
      <c r="BC7" s="72"/>
      <c r="BD7" s="72"/>
      <c r="BE7" s="72"/>
      <c r="BF7" s="72"/>
      <c r="BG7" s="72"/>
      <c r="BH7" s="72"/>
      <c r="BJ7" s="91" t="s">
        <v>522</v>
      </c>
      <c r="BK7" s="92" t="s">
        <v>21</v>
      </c>
      <c r="BL7" s="93" t="s">
        <v>264</v>
      </c>
      <c r="BN7" s="86" t="s">
        <v>372</v>
      </c>
      <c r="BO7" s="36" t="str">
        <f>IF(BN7="","",_xlfn.XLOOKUP(BN7,SD_Champions[Champion],SD_Champions[Rarity]))</f>
        <v>Epic</v>
      </c>
      <c r="BP7" s="37" t="str">
        <f>IF(BN7="","",_xlfn.XLOOKUP(BN7,SD_Champions[Champion],SD_Champions[Affinity]))</f>
        <v>Force</v>
      </c>
      <c r="BR7" s="83" t="s">
        <v>383</v>
      </c>
      <c r="BS7" s="36" t="str">
        <f>IF(BR7="","",_xlfn.XLOOKUP(BR7,SD_Champions[Champion],SD_Champions[Rarity]))</f>
        <v>Epic</v>
      </c>
      <c r="BT7" s="37" t="str">
        <f>IF(BR7="","",_xlfn.XLOOKUP(BR7,SD_Champions[Champion],SD_Champions[Affinity]))</f>
        <v>Force</v>
      </c>
    </row>
    <row r="8" spans="1:72" ht="15.75" thickBot="1" x14ac:dyDescent="0.3">
      <c r="A8" s="52" t="s">
        <v>272</v>
      </c>
      <c r="B8" s="53" t="b">
        <v>0</v>
      </c>
      <c r="E8" s="38">
        <v>4</v>
      </c>
      <c r="F8" s="175"/>
      <c r="G8" s="35">
        <v>3</v>
      </c>
      <c r="H8" s="36"/>
      <c r="I8" s="37"/>
      <c r="J8" s="175"/>
      <c r="K8" s="35">
        <v>3</v>
      </c>
      <c r="L8" s="36"/>
      <c r="M8" s="37"/>
      <c r="O8" s="43" t="s">
        <v>46</v>
      </c>
      <c r="P8" s="44" t="s">
        <v>47</v>
      </c>
      <c r="R8" s="41">
        <v>4</v>
      </c>
      <c r="S8" s="42">
        <v>1736</v>
      </c>
      <c r="T8" s="42">
        <v>1616</v>
      </c>
      <c r="U8" s="42">
        <v>1717</v>
      </c>
      <c r="V8" s="42">
        <v>1890</v>
      </c>
      <c r="W8" s="42">
        <v>2066</v>
      </c>
      <c r="X8" s="37">
        <v>2277</v>
      </c>
      <c r="Z8" s="45" t="s">
        <v>36</v>
      </c>
      <c r="AA8" s="46">
        <v>16</v>
      </c>
      <c r="AB8" s="47">
        <v>18</v>
      </c>
      <c r="AD8" s="31" t="s">
        <v>48</v>
      </c>
      <c r="AE8" s="32">
        <v>2254</v>
      </c>
      <c r="AF8" s="32">
        <v>4624</v>
      </c>
      <c r="AG8" s="32">
        <v>9600</v>
      </c>
      <c r="AH8" s="33">
        <v>21312</v>
      </c>
      <c r="AI8" s="34"/>
      <c r="AJ8" s="31" t="s">
        <v>48</v>
      </c>
      <c r="AK8" s="32">
        <v>900</v>
      </c>
      <c r="AL8" s="32">
        <v>4650</v>
      </c>
      <c r="AM8" s="32">
        <v>5650</v>
      </c>
      <c r="AN8" s="33">
        <v>8758</v>
      </c>
      <c r="AP8" s="77"/>
      <c r="AQ8" s="75"/>
      <c r="AR8" s="76"/>
      <c r="AS8" s="72"/>
      <c r="AT8" s="72"/>
      <c r="AU8" s="72"/>
      <c r="AV8" s="72"/>
      <c r="AW8" s="72"/>
      <c r="AX8" s="72"/>
      <c r="AY8" s="72"/>
      <c r="AZ8" s="72"/>
      <c r="BA8" s="72"/>
      <c r="BB8" s="72"/>
      <c r="BC8" s="72"/>
      <c r="BD8" s="72"/>
      <c r="BE8" s="72"/>
      <c r="BF8" s="72"/>
      <c r="BG8" s="72"/>
      <c r="BH8" s="72"/>
      <c r="BJ8" s="91" t="s">
        <v>398</v>
      </c>
      <c r="BK8" s="92" t="s">
        <v>21</v>
      </c>
      <c r="BL8" s="93" t="s">
        <v>266</v>
      </c>
      <c r="BN8" s="86" t="s">
        <v>373</v>
      </c>
      <c r="BO8" s="36" t="str">
        <f>IF(BN8="","",_xlfn.XLOOKUP(BN8,SD_Champions[Champion],SD_Champions[Rarity]))</f>
        <v>Epic</v>
      </c>
      <c r="BP8" s="37" t="str">
        <f>IF(BN8="","",_xlfn.XLOOKUP(BN8,SD_Champions[Champion],SD_Champions[Affinity]))</f>
        <v>Magic</v>
      </c>
      <c r="BR8" s="83" t="s">
        <v>384</v>
      </c>
      <c r="BS8" s="36" t="str">
        <f>IF(BR8="","",_xlfn.XLOOKUP(BR8,SD_Champions[Champion],SD_Champions[Rarity]))</f>
        <v>Legendary</v>
      </c>
      <c r="BT8" s="37" t="str">
        <f>IF(BR8="","",_xlfn.XLOOKUP(BR8,SD_Champions[Champion],SD_Champions[Affinity]))</f>
        <v>Force</v>
      </c>
    </row>
    <row r="9" spans="1:72" x14ac:dyDescent="0.25">
      <c r="A9" s="52" t="s">
        <v>273</v>
      </c>
      <c r="B9" s="53" t="b">
        <v>1</v>
      </c>
      <c r="E9" s="38">
        <v>5</v>
      </c>
      <c r="F9" s="175"/>
      <c r="G9" s="35"/>
      <c r="H9" s="36"/>
      <c r="I9" s="37"/>
      <c r="J9" s="175"/>
      <c r="K9" s="35"/>
      <c r="L9" s="36"/>
      <c r="M9" s="37"/>
      <c r="O9" s="43" t="s">
        <v>49</v>
      </c>
      <c r="P9" s="44" t="s">
        <v>50</v>
      </c>
      <c r="R9" s="41">
        <v>5</v>
      </c>
      <c r="S9" s="42">
        <v>2163</v>
      </c>
      <c r="T9" s="42">
        <v>1831</v>
      </c>
      <c r="U9" s="42">
        <v>1893</v>
      </c>
      <c r="V9" s="42">
        <v>2060</v>
      </c>
      <c r="W9" s="42">
        <v>2238</v>
      </c>
      <c r="X9" s="37">
        <v>2457</v>
      </c>
      <c r="AD9" s="31" t="s">
        <v>51</v>
      </c>
      <c r="AE9" s="32">
        <v>2260</v>
      </c>
      <c r="AF9" s="32">
        <v>4654</v>
      </c>
      <c r="AG9" s="32">
        <v>9600</v>
      </c>
      <c r="AH9" s="33">
        <v>21312</v>
      </c>
      <c r="AI9" s="34"/>
      <c r="AJ9" s="31" t="s">
        <v>51</v>
      </c>
      <c r="AK9" s="32">
        <v>950</v>
      </c>
      <c r="AL9" s="32">
        <v>4700</v>
      </c>
      <c r="AM9" s="32">
        <v>5700</v>
      </c>
      <c r="AN9" s="33">
        <v>8845</v>
      </c>
      <c r="AP9" s="77"/>
      <c r="AQ9" s="75"/>
      <c r="AR9" s="76"/>
      <c r="AS9" s="72"/>
      <c r="AT9" s="72"/>
      <c r="AU9" s="72"/>
      <c r="AV9" s="72"/>
      <c r="AW9" s="72"/>
      <c r="AX9" s="72"/>
      <c r="AY9" s="72"/>
      <c r="AZ9" s="72"/>
      <c r="BA9" s="72"/>
      <c r="BB9" s="72"/>
      <c r="BC9" s="72"/>
      <c r="BD9" s="72"/>
      <c r="BE9" s="72"/>
      <c r="BF9" s="72"/>
      <c r="BG9" s="72"/>
      <c r="BH9" s="72"/>
      <c r="BJ9" s="91" t="s">
        <v>634</v>
      </c>
      <c r="BK9" s="92" t="s">
        <v>420</v>
      </c>
      <c r="BL9" s="93" t="s">
        <v>265</v>
      </c>
      <c r="BN9" s="86" t="s">
        <v>374</v>
      </c>
      <c r="BO9" s="36" t="str">
        <f>IF(BN9="","",_xlfn.XLOOKUP(BN9,SD_Champions[Champion],SD_Champions[Rarity]))</f>
        <v>Epic</v>
      </c>
      <c r="BP9" s="37" t="str">
        <f>IF(BN9="","",_xlfn.XLOOKUP(BN9,SD_Champions[Champion],SD_Champions[Affinity]))</f>
        <v>Magic</v>
      </c>
      <c r="BR9" s="83" t="s">
        <v>385</v>
      </c>
      <c r="BS9" s="36" t="str">
        <f>IF(BR9="","",_xlfn.XLOOKUP(BR9,SD_Champions[Champion],SD_Champions[Rarity]))</f>
        <v>Legendary</v>
      </c>
      <c r="BT9" s="37" t="str">
        <f>IF(BR9="","",_xlfn.XLOOKUP(BR9,SD_Champions[Champion],SD_Champions[Affinity]))</f>
        <v>Force</v>
      </c>
    </row>
    <row r="10" spans="1:72" ht="15.75" thickBot="1" x14ac:dyDescent="0.3">
      <c r="A10" s="52" t="s">
        <v>274</v>
      </c>
      <c r="B10" s="53" t="b">
        <v>1</v>
      </c>
      <c r="E10" s="48">
        <v>6</v>
      </c>
      <c r="F10" s="176"/>
      <c r="G10" s="45"/>
      <c r="H10" s="46"/>
      <c r="I10" s="47"/>
      <c r="J10" s="176"/>
      <c r="K10" s="45"/>
      <c r="L10" s="46"/>
      <c r="M10" s="47"/>
      <c r="O10" s="43" t="s">
        <v>52</v>
      </c>
      <c r="P10" s="44" t="s">
        <v>53</v>
      </c>
      <c r="R10" s="41">
        <v>6</v>
      </c>
      <c r="S10" s="42">
        <v>2695</v>
      </c>
      <c r="T10" s="42">
        <v>2075</v>
      </c>
      <c r="U10" s="42">
        <v>2088</v>
      </c>
      <c r="V10" s="42">
        <v>2245</v>
      </c>
      <c r="W10" s="42">
        <v>2424</v>
      </c>
      <c r="X10" s="37">
        <v>2651</v>
      </c>
      <c r="AD10" s="31" t="s">
        <v>54</v>
      </c>
      <c r="AE10" s="32">
        <v>2264</v>
      </c>
      <c r="AF10" s="32">
        <v>4684</v>
      </c>
      <c r="AG10" s="32">
        <v>9600</v>
      </c>
      <c r="AH10" s="33">
        <v>21312</v>
      </c>
      <c r="AI10" s="34"/>
      <c r="AJ10" s="31" t="s">
        <v>54</v>
      </c>
      <c r="AK10" s="32">
        <v>1000</v>
      </c>
      <c r="AL10" s="32">
        <v>4750</v>
      </c>
      <c r="AM10" s="32">
        <v>5750</v>
      </c>
      <c r="AN10" s="33">
        <v>8934</v>
      </c>
      <c r="AP10" s="77"/>
      <c r="AQ10" s="75"/>
      <c r="AR10" s="76"/>
      <c r="AS10" s="72"/>
      <c r="AT10" s="72"/>
      <c r="AU10" s="72"/>
      <c r="AV10" s="72"/>
      <c r="AW10" s="72"/>
      <c r="AX10" s="72"/>
      <c r="AY10" s="72"/>
      <c r="AZ10" s="72"/>
      <c r="BA10" s="72"/>
      <c r="BB10" s="72"/>
      <c r="BC10" s="72"/>
      <c r="BD10" s="72"/>
      <c r="BE10" s="72"/>
      <c r="BF10" s="72"/>
      <c r="BG10" s="72"/>
      <c r="BH10" s="72"/>
      <c r="BJ10" s="91" t="s">
        <v>411</v>
      </c>
      <c r="BK10" s="92" t="s">
        <v>16</v>
      </c>
      <c r="BL10" s="93" t="s">
        <v>265</v>
      </c>
      <c r="BN10" s="86" t="s">
        <v>375</v>
      </c>
      <c r="BO10" s="36" t="str">
        <f>IF(BN10="","",_xlfn.XLOOKUP(BN10,SD_Champions[Champion],SD_Champions[Rarity]))</f>
        <v>Epic</v>
      </c>
      <c r="BP10" s="37" t="str">
        <f>IF(BN10="","",_xlfn.XLOOKUP(BN10,SD_Champions[Champion],SD_Champions[Affinity]))</f>
        <v>Magic</v>
      </c>
      <c r="BR10" s="83" t="s">
        <v>386</v>
      </c>
      <c r="BS10" s="88" t="str">
        <f>IF(BR10="","",_xlfn.XLOOKUP(BR10,SD_Champions[Champion],SD_Champions[Rarity]))</f>
        <v>Legendary</v>
      </c>
      <c r="BT10" s="37" t="str">
        <f>IF(BR10="","",_xlfn.XLOOKUP(BR10,SD_Champions[Champion],SD_Champions[Affinity]))</f>
        <v>Void</v>
      </c>
    </row>
    <row r="11" spans="1:72" ht="15.75" thickBot="1" x14ac:dyDescent="0.3">
      <c r="A11" s="52" t="s">
        <v>275</v>
      </c>
      <c r="B11" s="53" t="b">
        <v>1</v>
      </c>
      <c r="O11" s="43" t="s">
        <v>55</v>
      </c>
      <c r="P11" s="44" t="s">
        <v>56</v>
      </c>
      <c r="R11" s="41">
        <v>7</v>
      </c>
      <c r="S11" s="42">
        <v>3359</v>
      </c>
      <c r="T11" s="42">
        <v>2351</v>
      </c>
      <c r="U11" s="42">
        <v>2303</v>
      </c>
      <c r="V11" s="42">
        <v>2447</v>
      </c>
      <c r="W11" s="42">
        <v>2626</v>
      </c>
      <c r="X11" s="37">
        <v>2860</v>
      </c>
      <c r="AD11" s="31" t="s">
        <v>57</v>
      </c>
      <c r="AE11" s="32">
        <v>1624</v>
      </c>
      <c r="AF11" s="32">
        <v>4116</v>
      </c>
      <c r="AG11" s="32">
        <v>8400</v>
      </c>
      <c r="AH11" s="33">
        <v>21312</v>
      </c>
      <c r="AI11" s="34"/>
      <c r="AJ11" s="31" t="s">
        <v>57</v>
      </c>
      <c r="AK11" s="32">
        <v>1200</v>
      </c>
      <c r="AL11" s="32">
        <v>4950</v>
      </c>
      <c r="AM11" s="32">
        <v>5950</v>
      </c>
      <c r="AN11" s="33">
        <v>9023</v>
      </c>
      <c r="AP11" s="77"/>
      <c r="AQ11" s="75"/>
      <c r="AR11" s="76"/>
      <c r="AS11" s="72"/>
      <c r="AT11" s="72"/>
      <c r="AU11" s="72"/>
      <c r="AV11" s="72"/>
      <c r="AW11" s="72"/>
      <c r="AX11" s="72"/>
      <c r="AY11" s="72"/>
      <c r="AZ11" s="72"/>
      <c r="BA11" s="72"/>
      <c r="BB11" s="72"/>
      <c r="BC11" s="72"/>
      <c r="BD11" s="72"/>
      <c r="BE11" s="72"/>
      <c r="BF11" s="72"/>
      <c r="BG11" s="72"/>
      <c r="BH11" s="72"/>
      <c r="BJ11" s="91" t="s">
        <v>605</v>
      </c>
      <c r="BK11" s="92" t="s">
        <v>20</v>
      </c>
      <c r="BL11" s="93" t="s">
        <v>265</v>
      </c>
      <c r="BN11" s="86" t="s">
        <v>376</v>
      </c>
      <c r="BO11" s="36" t="str">
        <f>IF(BN11="","",_xlfn.XLOOKUP(BN11,SD_Champions[Champion],SD_Champions[Rarity]))</f>
        <v>Legendary</v>
      </c>
      <c r="BP11" s="37" t="str">
        <f>IF(BN11="","",_xlfn.XLOOKUP(BN11,SD_Champions[Champion],SD_Champions[Affinity]))</f>
        <v>Magic</v>
      </c>
      <c r="BR11" s="83"/>
      <c r="BS11" s="36" t="str">
        <f>IF(BR11="","",_xlfn.XLOOKUP(BR11,SD_Champions[Champion],SD_Champions[Rarity]))</f>
        <v/>
      </c>
      <c r="BT11" s="37" t="str">
        <f>IF(BR11="","",_xlfn.XLOOKUP(BR11,SD_Champions[Champion],SD_Champions[Affinity]))</f>
        <v/>
      </c>
    </row>
    <row r="12" spans="1:72" ht="15.75" thickBot="1" x14ac:dyDescent="0.3">
      <c r="E12" s="170" t="s">
        <v>20</v>
      </c>
      <c r="F12" s="172"/>
      <c r="G12" s="49" t="s">
        <v>17</v>
      </c>
      <c r="H12" s="50" t="s">
        <v>18</v>
      </c>
      <c r="I12" s="51" t="s">
        <v>19</v>
      </c>
      <c r="J12" s="12"/>
      <c r="K12" s="49" t="s">
        <v>17</v>
      </c>
      <c r="L12" s="50" t="s">
        <v>18</v>
      </c>
      <c r="M12" s="51" t="s">
        <v>19</v>
      </c>
      <c r="O12" s="43" t="s">
        <v>58</v>
      </c>
      <c r="P12" s="44" t="s">
        <v>59</v>
      </c>
      <c r="R12" s="41">
        <v>8</v>
      </c>
      <c r="S12" s="42">
        <v>4185</v>
      </c>
      <c r="T12" s="42">
        <v>2664</v>
      </c>
      <c r="U12" s="42">
        <v>2541</v>
      </c>
      <c r="V12" s="42">
        <v>2666</v>
      </c>
      <c r="W12" s="42">
        <v>2845</v>
      </c>
      <c r="X12" s="37">
        <v>3086</v>
      </c>
      <c r="AD12" s="31" t="s">
        <v>60</v>
      </c>
      <c r="AE12" s="32">
        <v>2288</v>
      </c>
      <c r="AF12" s="32">
        <v>4752</v>
      </c>
      <c r="AG12" s="32">
        <v>9600</v>
      </c>
      <c r="AH12" s="33">
        <v>21312</v>
      </c>
      <c r="AI12" s="34"/>
      <c r="AJ12" s="31" t="s">
        <v>60</v>
      </c>
      <c r="AK12" s="32">
        <v>1200</v>
      </c>
      <c r="AL12" s="32">
        <v>4950</v>
      </c>
      <c r="AM12" s="32">
        <v>5950</v>
      </c>
      <c r="AN12" s="33">
        <v>9023</v>
      </c>
      <c r="AP12" s="77"/>
      <c r="AQ12" s="75"/>
      <c r="AR12" s="76"/>
      <c r="AS12" s="72"/>
      <c r="AT12" s="72"/>
      <c r="AU12" s="72"/>
      <c r="AV12" s="72"/>
      <c r="AW12" s="72"/>
      <c r="AX12" s="72"/>
      <c r="AY12" s="72"/>
      <c r="AZ12" s="72"/>
      <c r="BA12" s="72"/>
      <c r="BB12" s="72"/>
      <c r="BC12" s="72"/>
      <c r="BD12" s="72"/>
      <c r="BE12" s="72"/>
      <c r="BF12" s="72"/>
      <c r="BG12" s="72"/>
      <c r="BH12" s="72"/>
      <c r="BJ12" s="91" t="s">
        <v>823</v>
      </c>
      <c r="BK12" s="92" t="s">
        <v>20</v>
      </c>
      <c r="BL12" s="93" t="s">
        <v>267</v>
      </c>
      <c r="BN12" s="86" t="s">
        <v>377</v>
      </c>
      <c r="BO12" s="36" t="str">
        <f>IF(BN12="","",_xlfn.XLOOKUP(BN12,SD_Champions[Champion],SD_Champions[Rarity]))</f>
        <v>Epic</v>
      </c>
      <c r="BP12" s="37" t="str">
        <f>IF(BN12="","",_xlfn.XLOOKUP(BN12,SD_Champions[Champion],SD_Champions[Affinity]))</f>
        <v>Force</v>
      </c>
      <c r="BR12" s="83"/>
      <c r="BS12" s="36" t="str">
        <f>IF(BR12="","",_xlfn.XLOOKUP(BR12,SD_Champions[Champion],SD_Champions[Rarity]))</f>
        <v/>
      </c>
      <c r="BT12" s="37" t="str">
        <f>IF(BR12="","",_xlfn.XLOOKUP(BR12,SD_Champions[Champion],SD_Champions[Affinity]))</f>
        <v/>
      </c>
    </row>
    <row r="13" spans="1:72" ht="15.75" thickBot="1" x14ac:dyDescent="0.3">
      <c r="A13" s="8" t="s">
        <v>83</v>
      </c>
      <c r="E13" s="21">
        <v>1</v>
      </c>
      <c r="F13" s="174" t="s">
        <v>37</v>
      </c>
      <c r="G13" s="23">
        <v>4</v>
      </c>
      <c r="H13" s="24"/>
      <c r="I13" s="25"/>
      <c r="J13" s="174" t="s">
        <v>38</v>
      </c>
      <c r="K13" s="23">
        <v>2</v>
      </c>
      <c r="L13" s="24"/>
      <c r="M13" s="25"/>
      <c r="O13" s="43" t="s">
        <v>62</v>
      </c>
      <c r="P13" s="44" t="s">
        <v>63</v>
      </c>
      <c r="R13" s="41">
        <v>9</v>
      </c>
      <c r="S13" s="46">
        <v>5215</v>
      </c>
      <c r="T13" s="42">
        <v>3019</v>
      </c>
      <c r="U13" s="42">
        <v>2802</v>
      </c>
      <c r="V13" s="42">
        <v>2906</v>
      </c>
      <c r="W13" s="42">
        <v>3082</v>
      </c>
      <c r="X13" s="37">
        <v>3329</v>
      </c>
      <c r="AD13" s="31" t="s">
        <v>64</v>
      </c>
      <c r="AE13" s="32">
        <v>2296</v>
      </c>
      <c r="AF13" s="32">
        <v>4768</v>
      </c>
      <c r="AG13" s="32">
        <v>9600</v>
      </c>
      <c r="AH13" s="33">
        <v>21312</v>
      </c>
      <c r="AI13" s="34"/>
      <c r="AJ13" s="31" t="s">
        <v>64</v>
      </c>
      <c r="AK13" s="32">
        <v>1250</v>
      </c>
      <c r="AL13" s="32">
        <v>5000</v>
      </c>
      <c r="AM13" s="32">
        <v>6000</v>
      </c>
      <c r="AN13" s="33">
        <v>9113</v>
      </c>
      <c r="AP13" s="77"/>
      <c r="AQ13" s="75"/>
      <c r="AR13" s="76"/>
      <c r="AS13" s="72"/>
      <c r="AT13" s="72"/>
      <c r="AU13" s="72"/>
      <c r="AV13" s="72"/>
      <c r="AW13" s="72"/>
      <c r="AX13" s="72"/>
      <c r="AY13" s="72"/>
      <c r="AZ13" s="72"/>
      <c r="BA13" s="72"/>
      <c r="BB13" s="72"/>
      <c r="BC13" s="72"/>
      <c r="BD13" s="72"/>
      <c r="BE13" s="72"/>
      <c r="BF13" s="72"/>
      <c r="BG13" s="72"/>
      <c r="BH13" s="72"/>
      <c r="BJ13" s="91" t="s">
        <v>666</v>
      </c>
      <c r="BK13" s="92" t="s">
        <v>21</v>
      </c>
      <c r="BL13" s="93" t="s">
        <v>267</v>
      </c>
      <c r="BN13" s="86" t="s">
        <v>378</v>
      </c>
      <c r="BO13" s="36" t="str">
        <f>IF(BN13="","",_xlfn.XLOOKUP(BN13,SD_Champions[Champion],SD_Champions[Rarity]))</f>
        <v>Epic</v>
      </c>
      <c r="BP13" s="37" t="str">
        <f>IF(BN13="","",_xlfn.XLOOKUP(BN13,SD_Champions[Champion],SD_Champions[Affinity]))</f>
        <v>Spirit</v>
      </c>
      <c r="BR13" s="83"/>
      <c r="BS13" s="36" t="str">
        <f>IF(BR13="","",_xlfn.XLOOKUP(BR13,SD_Champions[Champion],SD_Champions[Rarity]))</f>
        <v/>
      </c>
      <c r="BT13" s="37" t="str">
        <f>IF(BR13="","",_xlfn.XLOOKUP(BR13,SD_Champions[Champion],SD_Champions[Affinity]))</f>
        <v/>
      </c>
    </row>
    <row r="14" spans="1:72" ht="15.75" thickBot="1" x14ac:dyDescent="0.3">
      <c r="A14" s="52" t="s">
        <v>87</v>
      </c>
      <c r="B14" s="53" t="b">
        <v>0</v>
      </c>
      <c r="E14" s="38">
        <v>2</v>
      </c>
      <c r="F14" s="175"/>
      <c r="G14" s="35">
        <v>6</v>
      </c>
      <c r="H14" s="36"/>
      <c r="I14" s="37"/>
      <c r="J14" s="175"/>
      <c r="K14" s="35">
        <v>3</v>
      </c>
      <c r="L14" s="36"/>
      <c r="M14" s="37"/>
      <c r="O14" s="43" t="s">
        <v>65</v>
      </c>
      <c r="P14" s="44" t="s">
        <v>66</v>
      </c>
      <c r="R14" s="41">
        <v>10</v>
      </c>
      <c r="S14" s="54">
        <v>0</v>
      </c>
      <c r="T14" s="42">
        <v>3421</v>
      </c>
      <c r="U14" s="42">
        <v>3091</v>
      </c>
      <c r="V14" s="42">
        <v>3167</v>
      </c>
      <c r="W14" s="42">
        <v>3338</v>
      </c>
      <c r="X14" s="37">
        <v>3592</v>
      </c>
      <c r="AD14" s="31" t="s">
        <v>67</v>
      </c>
      <c r="AE14" s="32">
        <v>2304</v>
      </c>
      <c r="AF14" s="32">
        <v>4768</v>
      </c>
      <c r="AG14" s="32">
        <v>9600</v>
      </c>
      <c r="AH14" s="33">
        <v>21312</v>
      </c>
      <c r="AI14" s="34"/>
      <c r="AJ14" s="31" t="s">
        <v>67</v>
      </c>
      <c r="AK14" s="32">
        <v>1300</v>
      </c>
      <c r="AL14" s="32">
        <v>5050</v>
      </c>
      <c r="AM14" s="32">
        <v>6050</v>
      </c>
      <c r="AN14" s="33">
        <v>9204</v>
      </c>
      <c r="AP14" s="77"/>
      <c r="AQ14" s="75"/>
      <c r="AR14" s="76"/>
      <c r="AS14" s="72"/>
      <c r="AT14" s="72"/>
      <c r="AU14" s="72"/>
      <c r="AV14" s="72"/>
      <c r="AW14" s="72"/>
      <c r="AX14" s="72"/>
      <c r="AY14" s="72"/>
      <c r="AZ14" s="72"/>
      <c r="BA14" s="72"/>
      <c r="BB14" s="72"/>
      <c r="BC14" s="72"/>
      <c r="BD14" s="72"/>
      <c r="BE14" s="72"/>
      <c r="BF14" s="72"/>
      <c r="BG14" s="72"/>
      <c r="BH14" s="72"/>
      <c r="BJ14" s="91" t="s">
        <v>793</v>
      </c>
      <c r="BK14" s="92" t="s">
        <v>16</v>
      </c>
      <c r="BL14" s="93" t="s">
        <v>266</v>
      </c>
      <c r="BN14" s="86"/>
      <c r="BO14" s="36" t="str">
        <f>IF(BN14="","",_xlfn.XLOOKUP(BN14,SD_Champions[Champion],SD_Champions[Rarity]))</f>
        <v/>
      </c>
      <c r="BP14" s="37" t="str">
        <f>IF(BN14="","",_xlfn.XLOOKUP(BN14,SD_Champions[Champion],SD_Champions[Affinity]))</f>
        <v/>
      </c>
      <c r="BR14" s="83"/>
      <c r="BS14" s="36" t="str">
        <f>IF(BR14="","",_xlfn.XLOOKUP(BR14,SD_Champions[Champion],SD_Champions[Rarity]))</f>
        <v/>
      </c>
      <c r="BT14" s="37" t="str">
        <f>IF(BR14="","",_xlfn.XLOOKUP(BR14,SD_Champions[Champion],SD_Champions[Affinity]))</f>
        <v/>
      </c>
    </row>
    <row r="15" spans="1:72" x14ac:dyDescent="0.25">
      <c r="E15" s="38">
        <v>3</v>
      </c>
      <c r="F15" s="175"/>
      <c r="G15" s="35"/>
      <c r="H15" s="36">
        <v>2</v>
      </c>
      <c r="I15" s="37"/>
      <c r="J15" s="175"/>
      <c r="K15" s="35"/>
      <c r="L15" s="36">
        <v>1</v>
      </c>
      <c r="M15" s="37"/>
      <c r="O15" s="43" t="s">
        <v>68</v>
      </c>
      <c r="P15" s="44" t="s">
        <v>69</v>
      </c>
      <c r="R15" s="41">
        <v>11</v>
      </c>
      <c r="S15" s="6"/>
      <c r="T15" s="42">
        <v>3876</v>
      </c>
      <c r="U15" s="42">
        <v>3409</v>
      </c>
      <c r="V15" s="42">
        <v>3451</v>
      </c>
      <c r="W15" s="42">
        <v>3616</v>
      </c>
      <c r="X15" s="37">
        <v>3876</v>
      </c>
      <c r="AD15" s="31" t="s">
        <v>70</v>
      </c>
      <c r="AE15" s="32">
        <v>2320</v>
      </c>
      <c r="AF15" s="32">
        <v>4808</v>
      </c>
      <c r="AG15" s="32">
        <v>9600</v>
      </c>
      <c r="AH15" s="33">
        <v>21312</v>
      </c>
      <c r="AI15" s="34"/>
      <c r="AJ15" s="31" t="s">
        <v>70</v>
      </c>
      <c r="AK15" s="32">
        <v>1350</v>
      </c>
      <c r="AL15" s="32">
        <v>5100</v>
      </c>
      <c r="AM15" s="32">
        <v>6100</v>
      </c>
      <c r="AN15" s="33">
        <v>9296</v>
      </c>
      <c r="AP15" s="77"/>
      <c r="AQ15" s="75"/>
      <c r="AR15" s="76"/>
      <c r="AS15" s="72"/>
      <c r="AT15" s="72"/>
      <c r="AU15" s="72"/>
      <c r="AV15" s="72"/>
      <c r="AW15" s="72"/>
      <c r="AX15" s="72"/>
      <c r="AY15" s="72"/>
      <c r="AZ15" s="72"/>
      <c r="BA15" s="72"/>
      <c r="BB15" s="72"/>
      <c r="BC15" s="72"/>
      <c r="BD15" s="72"/>
      <c r="BE15" s="72"/>
      <c r="BF15" s="72"/>
      <c r="BG15" s="72"/>
      <c r="BH15" s="72"/>
      <c r="BJ15" s="91" t="s">
        <v>851</v>
      </c>
      <c r="BK15" s="92" t="s">
        <v>420</v>
      </c>
      <c r="BL15" s="93" t="s">
        <v>265</v>
      </c>
      <c r="BN15" s="86"/>
      <c r="BO15" s="36" t="str">
        <f>IF(BN15="","",_xlfn.XLOOKUP(BN15,SD_Champions[Champion],SD_Champions[Rarity]))</f>
        <v/>
      </c>
      <c r="BP15" s="37" t="str">
        <f>IF(BN15="","",_xlfn.XLOOKUP(BN15,SD_Champions[Champion],SD_Champions[Affinity]))</f>
        <v/>
      </c>
      <c r="BR15" s="83"/>
      <c r="BS15" s="36" t="str">
        <f>IF(BR15="","",_xlfn.XLOOKUP(BR15,SD_Champions[Champion],SD_Champions[Rarity]))</f>
        <v/>
      </c>
      <c r="BT15" s="37" t="str">
        <f>IF(BR15="","",_xlfn.XLOOKUP(BR15,SD_Champions[Champion],SD_Champions[Affinity]))</f>
        <v/>
      </c>
    </row>
    <row r="16" spans="1:72" x14ac:dyDescent="0.25">
      <c r="A16" s="8" t="s">
        <v>94</v>
      </c>
      <c r="E16" s="38">
        <v>4</v>
      </c>
      <c r="F16" s="175"/>
      <c r="G16" s="35"/>
      <c r="H16" s="36">
        <v>2</v>
      </c>
      <c r="I16" s="37"/>
      <c r="J16" s="175"/>
      <c r="K16" s="35"/>
      <c r="L16" s="36">
        <v>2</v>
      </c>
      <c r="M16" s="37"/>
      <c r="O16" s="43" t="s">
        <v>71</v>
      </c>
      <c r="P16" s="44" t="s">
        <v>72</v>
      </c>
      <c r="R16" s="41">
        <v>12</v>
      </c>
      <c r="S16" s="6"/>
      <c r="T16" s="42">
        <v>4392</v>
      </c>
      <c r="U16" s="42">
        <v>3760</v>
      </c>
      <c r="V16" s="42">
        <v>3761</v>
      </c>
      <c r="W16" s="42">
        <v>3918</v>
      </c>
      <c r="X16" s="37">
        <v>4182</v>
      </c>
      <c r="AD16" s="31" t="s">
        <v>73</v>
      </c>
      <c r="AE16" s="32">
        <v>2336</v>
      </c>
      <c r="AF16" s="32">
        <v>4894</v>
      </c>
      <c r="AG16" s="32">
        <v>9600</v>
      </c>
      <c r="AH16" s="33">
        <v>21312</v>
      </c>
      <c r="AI16" s="34"/>
      <c r="AJ16" s="31" t="s">
        <v>73</v>
      </c>
      <c r="AK16" s="32">
        <v>1400</v>
      </c>
      <c r="AL16" s="32">
        <v>5150</v>
      </c>
      <c r="AM16" s="32">
        <v>6150</v>
      </c>
      <c r="AN16" s="33">
        <v>9389</v>
      </c>
      <c r="AP16" s="77"/>
      <c r="AQ16" s="75"/>
      <c r="AR16" s="76"/>
      <c r="AS16" s="72"/>
      <c r="AT16" s="72"/>
      <c r="AU16" s="72"/>
      <c r="AV16" s="72"/>
      <c r="AW16" s="72"/>
      <c r="AX16" s="72"/>
      <c r="AY16" s="72"/>
      <c r="AZ16" s="72"/>
      <c r="BA16" s="72"/>
      <c r="BB16" s="72"/>
      <c r="BC16" s="72"/>
      <c r="BD16" s="72"/>
      <c r="BE16" s="72"/>
      <c r="BF16" s="72"/>
      <c r="BG16" s="72"/>
      <c r="BH16" s="72"/>
      <c r="BJ16" s="91" t="s">
        <v>558</v>
      </c>
      <c r="BK16" s="92" t="s">
        <v>20</v>
      </c>
      <c r="BL16" s="93" t="s">
        <v>265</v>
      </c>
      <c r="BN16" s="86"/>
      <c r="BO16" s="36" t="str">
        <f>IF(BN16="","",_xlfn.XLOOKUP(BN16,SD_Champions[Champion],SD_Champions[Rarity]))</f>
        <v/>
      </c>
      <c r="BP16" s="37" t="str">
        <f>IF(BN16="","",_xlfn.XLOOKUP(BN16,SD_Champions[Champion],SD_Champions[Affinity]))</f>
        <v/>
      </c>
      <c r="BR16" s="83"/>
      <c r="BS16" s="36" t="str">
        <f>IF(BR16="","",_xlfn.XLOOKUP(BR16,SD_Champions[Champion],SD_Champions[Rarity]))</f>
        <v/>
      </c>
      <c r="BT16" s="37" t="str">
        <f>IF(BR16="","",_xlfn.XLOOKUP(BR16,SD_Champions[Champion],SD_Champions[Affinity]))</f>
        <v/>
      </c>
    </row>
    <row r="17" spans="1:72" x14ac:dyDescent="0.25">
      <c r="A17" s="52" t="s">
        <v>98</v>
      </c>
      <c r="B17" s="53" t="b">
        <v>1</v>
      </c>
      <c r="E17" s="38">
        <v>5</v>
      </c>
      <c r="F17" s="175"/>
      <c r="G17" s="35"/>
      <c r="H17" s="36">
        <v>5</v>
      </c>
      <c r="I17" s="37"/>
      <c r="J17" s="175"/>
      <c r="K17" s="35"/>
      <c r="L17" s="36">
        <v>3</v>
      </c>
      <c r="M17" s="37"/>
      <c r="O17" s="43" t="s">
        <v>74</v>
      </c>
      <c r="P17" s="44" t="s">
        <v>75</v>
      </c>
      <c r="R17" s="41">
        <v>13</v>
      </c>
      <c r="S17" s="6"/>
      <c r="T17" s="42">
        <v>4977</v>
      </c>
      <c r="U17" s="42">
        <v>4147</v>
      </c>
      <c r="V17" s="42">
        <v>4099</v>
      </c>
      <c r="W17" s="42">
        <v>4244</v>
      </c>
      <c r="X17" s="37">
        <v>4512</v>
      </c>
      <c r="AD17" s="31" t="s">
        <v>76</v>
      </c>
      <c r="AE17" s="32">
        <v>2352</v>
      </c>
      <c r="AF17" s="32">
        <v>4864</v>
      </c>
      <c r="AG17" s="32">
        <v>9600</v>
      </c>
      <c r="AH17" s="33">
        <v>21312</v>
      </c>
      <c r="AI17" s="34"/>
      <c r="AJ17" s="31" t="s">
        <v>76</v>
      </c>
      <c r="AK17" s="32">
        <v>1450</v>
      </c>
      <c r="AL17" s="32">
        <v>5200</v>
      </c>
      <c r="AM17" s="32">
        <v>6200</v>
      </c>
      <c r="AN17" s="33">
        <v>9483</v>
      </c>
      <c r="AP17" s="77"/>
      <c r="AQ17" s="75"/>
      <c r="AR17" s="76"/>
      <c r="AS17" s="72"/>
      <c r="AT17" s="72"/>
      <c r="AU17" s="72"/>
      <c r="AV17" s="72"/>
      <c r="AW17" s="72"/>
      <c r="AX17" s="72"/>
      <c r="AY17" s="72"/>
      <c r="AZ17" s="72"/>
      <c r="BA17" s="72"/>
      <c r="BB17" s="72"/>
      <c r="BC17" s="72"/>
      <c r="BD17" s="72"/>
      <c r="BE17" s="72"/>
      <c r="BF17" s="72"/>
      <c r="BG17" s="72"/>
      <c r="BH17" s="72"/>
      <c r="BJ17" s="91" t="s">
        <v>508</v>
      </c>
      <c r="BK17" s="92" t="s">
        <v>20</v>
      </c>
      <c r="BL17" s="93" t="s">
        <v>267</v>
      </c>
      <c r="BN17" s="83"/>
      <c r="BO17" s="36" t="str">
        <f>IF(BN17="","",_xlfn.XLOOKUP(BN17,SD_Champions[Champion],SD_Champions[Rarity]))</f>
        <v/>
      </c>
      <c r="BP17" s="37" t="str">
        <f>IF(BN17="","",_xlfn.XLOOKUP(BN17,SD_Champions[Champion],SD_Champions[Affinity]))</f>
        <v/>
      </c>
      <c r="BR17" s="83"/>
      <c r="BS17" s="36" t="str">
        <f>IF(BR17="","",_xlfn.XLOOKUP(BR17,SD_Champions[Champion],SD_Champions[Rarity]))</f>
        <v/>
      </c>
      <c r="BT17" s="37" t="str">
        <f>IF(BR17="","",_xlfn.XLOOKUP(BR17,SD_Champions[Champion],SD_Champions[Affinity]))</f>
        <v/>
      </c>
    </row>
    <row r="18" spans="1:72" ht="15.75" thickBot="1" x14ac:dyDescent="0.3">
      <c r="A18" s="52" t="s">
        <v>102</v>
      </c>
      <c r="B18" s="53" t="b">
        <v>1</v>
      </c>
      <c r="E18" s="48">
        <v>6</v>
      </c>
      <c r="F18" s="176"/>
      <c r="G18" s="45"/>
      <c r="H18" s="46">
        <v>6</v>
      </c>
      <c r="I18" s="47"/>
      <c r="J18" s="176"/>
      <c r="K18" s="45"/>
      <c r="L18" s="46">
        <v>4</v>
      </c>
      <c r="M18" s="47"/>
      <c r="O18" s="43" t="s">
        <v>77</v>
      </c>
      <c r="P18" s="44" t="s">
        <v>78</v>
      </c>
      <c r="R18" s="41">
        <v>14</v>
      </c>
      <c r="S18" s="6"/>
      <c r="T18" s="42">
        <v>5640</v>
      </c>
      <c r="U18" s="42">
        <v>4574</v>
      </c>
      <c r="V18" s="42">
        <v>4467</v>
      </c>
      <c r="W18" s="42">
        <v>4597</v>
      </c>
      <c r="X18" s="37">
        <v>4869</v>
      </c>
      <c r="AD18" s="31" t="s">
        <v>79</v>
      </c>
      <c r="AE18" s="32">
        <v>1684</v>
      </c>
      <c r="AF18" s="32">
        <v>4344</v>
      </c>
      <c r="AG18" s="32">
        <v>8400</v>
      </c>
      <c r="AH18" s="33">
        <v>23976</v>
      </c>
      <c r="AI18" s="34"/>
      <c r="AJ18" s="31" t="s">
        <v>79</v>
      </c>
      <c r="AK18" s="32">
        <v>1650</v>
      </c>
      <c r="AL18" s="32">
        <v>5400</v>
      </c>
      <c r="AM18" s="32">
        <v>6400</v>
      </c>
      <c r="AN18" s="33">
        <v>9578</v>
      </c>
      <c r="AP18" s="77"/>
      <c r="AQ18" s="75"/>
      <c r="AR18" s="76"/>
      <c r="AS18" s="72"/>
      <c r="AT18" s="72"/>
      <c r="AU18" s="72"/>
      <c r="AV18" s="72"/>
      <c r="AW18" s="72"/>
      <c r="AX18" s="72"/>
      <c r="AY18" s="72"/>
      <c r="AZ18" s="72"/>
      <c r="BA18" s="72"/>
      <c r="BB18" s="72"/>
      <c r="BC18" s="72"/>
      <c r="BD18" s="72"/>
      <c r="BE18" s="72"/>
      <c r="BF18" s="72"/>
      <c r="BG18" s="72"/>
      <c r="BH18" s="72"/>
      <c r="BJ18" s="91" t="s">
        <v>770</v>
      </c>
      <c r="BK18" s="92" t="s">
        <v>21</v>
      </c>
      <c r="BL18" s="93" t="s">
        <v>266</v>
      </c>
      <c r="BN18" s="84"/>
      <c r="BO18" s="46" t="str">
        <f>IF(BN18="","",_xlfn.XLOOKUP(BN18,SD_Champions[Champion],SD_Champions[Rarity]))</f>
        <v/>
      </c>
      <c r="BP18" s="47" t="str">
        <f>IF(BN18="","",_xlfn.XLOOKUP(BN18,SD_Champions[Champion],SD_Champions[Affinity]))</f>
        <v/>
      </c>
      <c r="BR18" s="83"/>
      <c r="BS18" s="36" t="str">
        <f>IF(BR18="","",_xlfn.XLOOKUP(BR18,SD_Champions[Champion],SD_Champions[Rarity]))</f>
        <v/>
      </c>
      <c r="BT18" s="37" t="str">
        <f>IF(BR18="","",_xlfn.XLOOKUP(BR18,SD_Champions[Champion],SD_Champions[Affinity]))</f>
        <v/>
      </c>
    </row>
    <row r="19" spans="1:72" ht="15.75" thickBot="1" x14ac:dyDescent="0.3">
      <c r="A19" s="52" t="s">
        <v>106</v>
      </c>
      <c r="B19" s="53" t="b">
        <v>1</v>
      </c>
      <c r="O19" s="43" t="s">
        <v>80</v>
      </c>
      <c r="P19" s="44" t="s">
        <v>81</v>
      </c>
      <c r="R19" s="41">
        <v>15</v>
      </c>
      <c r="S19" s="6"/>
      <c r="T19" s="42">
        <v>6390</v>
      </c>
      <c r="U19" s="42">
        <v>5045</v>
      </c>
      <c r="V19" s="42">
        <v>4868</v>
      </c>
      <c r="W19" s="42">
        <v>4980</v>
      </c>
      <c r="X19" s="37">
        <v>5253</v>
      </c>
      <c r="AD19" s="31" t="s">
        <v>82</v>
      </c>
      <c r="AE19" s="32">
        <v>3060</v>
      </c>
      <c r="AF19" s="32">
        <v>5564</v>
      </c>
      <c r="AG19" s="32">
        <v>10800</v>
      </c>
      <c r="AH19" s="33">
        <v>23976</v>
      </c>
      <c r="AI19" s="34"/>
      <c r="AJ19" s="31" t="s">
        <v>82</v>
      </c>
      <c r="AK19" s="32">
        <v>1650</v>
      </c>
      <c r="AL19" s="32">
        <v>5400</v>
      </c>
      <c r="AM19" s="32">
        <v>6400</v>
      </c>
      <c r="AN19" s="33">
        <v>9674</v>
      </c>
      <c r="AP19" s="77"/>
      <c r="AQ19" s="75"/>
      <c r="AR19" s="76"/>
      <c r="AS19" s="72"/>
      <c r="AT19" s="72"/>
      <c r="AU19" s="72"/>
      <c r="AV19" s="72"/>
      <c r="AW19" s="72"/>
      <c r="AX19" s="72"/>
      <c r="AY19" s="72"/>
      <c r="AZ19" s="72"/>
      <c r="BA19" s="72"/>
      <c r="BB19" s="72"/>
      <c r="BC19" s="72"/>
      <c r="BD19" s="72"/>
      <c r="BE19" s="72"/>
      <c r="BF19" s="72"/>
      <c r="BG19" s="72"/>
      <c r="BH19" s="72"/>
      <c r="BJ19" s="91" t="s">
        <v>539</v>
      </c>
      <c r="BK19" s="92" t="s">
        <v>20</v>
      </c>
      <c r="BL19" s="93" t="s">
        <v>265</v>
      </c>
      <c r="BR19" s="83"/>
      <c r="BS19" s="36" t="str">
        <f>IF(BR19="","",_xlfn.XLOOKUP(BR19,SD_Champions[Champion],SD_Champions[Rarity]))</f>
        <v/>
      </c>
      <c r="BT19" s="37" t="str">
        <f>IF(BR19="","",_xlfn.XLOOKUP(BR19,SD_Champions[Champion],SD_Champions[Affinity]))</f>
        <v/>
      </c>
    </row>
    <row r="20" spans="1:72" ht="15.75" thickBot="1" x14ac:dyDescent="0.3">
      <c r="A20" s="52" t="s">
        <v>110</v>
      </c>
      <c r="B20" s="53" t="b">
        <v>1</v>
      </c>
      <c r="C20" s="3" t="s">
        <v>111</v>
      </c>
      <c r="E20" s="170" t="s">
        <v>21</v>
      </c>
      <c r="F20" s="172"/>
      <c r="G20" s="49" t="s">
        <v>17</v>
      </c>
      <c r="H20" s="50" t="s">
        <v>18</v>
      </c>
      <c r="I20" s="51" t="s">
        <v>19</v>
      </c>
      <c r="J20" s="12"/>
      <c r="K20" s="49" t="s">
        <v>17</v>
      </c>
      <c r="L20" s="50" t="s">
        <v>18</v>
      </c>
      <c r="M20" s="51" t="s">
        <v>19</v>
      </c>
      <c r="O20" s="43" t="s">
        <v>84</v>
      </c>
      <c r="P20" s="44" t="s">
        <v>85</v>
      </c>
      <c r="R20" s="41">
        <v>16</v>
      </c>
      <c r="S20" s="6"/>
      <c r="T20" s="42">
        <v>7241</v>
      </c>
      <c r="U20" s="42">
        <v>5565</v>
      </c>
      <c r="V20" s="42">
        <v>5305</v>
      </c>
      <c r="W20" s="42">
        <v>5395</v>
      </c>
      <c r="X20" s="37">
        <v>5668</v>
      </c>
      <c r="AD20" s="31" t="s">
        <v>86</v>
      </c>
      <c r="AE20" s="32">
        <v>3096</v>
      </c>
      <c r="AF20" s="32">
        <v>5670</v>
      </c>
      <c r="AG20" s="32">
        <v>10800</v>
      </c>
      <c r="AH20" s="33">
        <v>23976</v>
      </c>
      <c r="AI20" s="34"/>
      <c r="AJ20" s="31" t="s">
        <v>86</v>
      </c>
      <c r="AK20" s="32">
        <v>1700</v>
      </c>
      <c r="AL20" s="32">
        <v>5450</v>
      </c>
      <c r="AM20" s="32">
        <v>6450</v>
      </c>
      <c r="AN20" s="33">
        <v>9771</v>
      </c>
      <c r="BJ20" s="91" t="s">
        <v>603</v>
      </c>
      <c r="BK20" s="92" t="s">
        <v>20</v>
      </c>
      <c r="BL20" s="93" t="s">
        <v>264</v>
      </c>
      <c r="BR20" s="83"/>
      <c r="BS20" s="36" t="str">
        <f>IF(BR20="","",_xlfn.XLOOKUP(BR20,SD_Champions[Champion],SD_Champions[Rarity]))</f>
        <v/>
      </c>
      <c r="BT20" s="37" t="str">
        <f>IF(BR20="","",_xlfn.XLOOKUP(BR20,SD_Champions[Champion],SD_Champions[Affinity]))</f>
        <v/>
      </c>
    </row>
    <row r="21" spans="1:72" x14ac:dyDescent="0.25">
      <c r="A21" s="52" t="s">
        <v>115</v>
      </c>
      <c r="B21" s="53" t="b">
        <v>1</v>
      </c>
      <c r="E21" s="21">
        <v>1</v>
      </c>
      <c r="F21" s="174" t="s">
        <v>37</v>
      </c>
      <c r="G21" s="23"/>
      <c r="H21" s="24">
        <v>4</v>
      </c>
      <c r="I21" s="25"/>
      <c r="J21" s="174" t="s">
        <v>38</v>
      </c>
      <c r="K21" s="23"/>
      <c r="L21" s="24">
        <v>3</v>
      </c>
      <c r="M21" s="25"/>
      <c r="O21" s="43" t="s">
        <v>88</v>
      </c>
      <c r="P21" s="44" t="s">
        <v>89</v>
      </c>
      <c r="R21" s="41">
        <v>17</v>
      </c>
      <c r="S21" s="6"/>
      <c r="T21" s="42">
        <v>8205</v>
      </c>
      <c r="U21" s="42">
        <v>6138</v>
      </c>
      <c r="V21" s="42">
        <v>5782</v>
      </c>
      <c r="W21" s="42">
        <v>5844</v>
      </c>
      <c r="X21" s="37">
        <v>6115</v>
      </c>
      <c r="AD21" s="31" t="s">
        <v>90</v>
      </c>
      <c r="AE21" s="32">
        <v>3132</v>
      </c>
      <c r="AF21" s="32">
        <v>5670</v>
      </c>
      <c r="AG21" s="32">
        <v>10800</v>
      </c>
      <c r="AH21" s="33">
        <v>23976</v>
      </c>
      <c r="AI21" s="34"/>
      <c r="AJ21" s="31" t="s">
        <v>90</v>
      </c>
      <c r="AK21" s="32">
        <v>1750</v>
      </c>
      <c r="AL21" s="32">
        <v>5500</v>
      </c>
      <c r="AM21" s="32">
        <v>6500</v>
      </c>
      <c r="AN21" s="33">
        <v>9868</v>
      </c>
      <c r="BJ21" s="91" t="s">
        <v>406</v>
      </c>
      <c r="BK21" s="92" t="s">
        <v>21</v>
      </c>
      <c r="BL21" s="93" t="s">
        <v>267</v>
      </c>
      <c r="BR21" s="83"/>
      <c r="BS21" s="36" t="str">
        <f>IF(BR21="","",_xlfn.XLOOKUP(BR21,SD_Champions[Champion],SD_Champions[Rarity]))</f>
        <v/>
      </c>
      <c r="BT21" s="37" t="str">
        <f>IF(BR21="","",_xlfn.XLOOKUP(BR21,SD_Champions[Champion],SD_Champions[Affinity]))</f>
        <v/>
      </c>
    </row>
    <row r="22" spans="1:72" x14ac:dyDescent="0.25">
      <c r="A22" s="52" t="s">
        <v>120</v>
      </c>
      <c r="B22" t="s">
        <v>121</v>
      </c>
      <c r="E22" s="38">
        <v>2</v>
      </c>
      <c r="F22" s="175"/>
      <c r="G22" s="35"/>
      <c r="H22" s="36">
        <v>7</v>
      </c>
      <c r="I22" s="37"/>
      <c r="J22" s="175"/>
      <c r="K22" s="35"/>
      <c r="L22" s="36">
        <v>5</v>
      </c>
      <c r="M22" s="37"/>
      <c r="O22" s="43" t="s">
        <v>91</v>
      </c>
      <c r="P22" s="44" t="s">
        <v>92</v>
      </c>
      <c r="R22" s="41">
        <v>18</v>
      </c>
      <c r="S22" s="6"/>
      <c r="T22" s="42">
        <v>9298</v>
      </c>
      <c r="U22" s="42">
        <v>6769</v>
      </c>
      <c r="V22" s="42">
        <v>6301</v>
      </c>
      <c r="W22" s="42">
        <v>6331</v>
      </c>
      <c r="X22" s="37">
        <v>6598</v>
      </c>
      <c r="AD22" s="31" t="s">
        <v>93</v>
      </c>
      <c r="AE22" s="32">
        <v>3184</v>
      </c>
      <c r="AF22" s="32">
        <v>5778</v>
      </c>
      <c r="AG22" s="32">
        <v>10800</v>
      </c>
      <c r="AH22" s="33">
        <v>23976</v>
      </c>
      <c r="AI22" s="34"/>
      <c r="AJ22" s="31" t="s">
        <v>93</v>
      </c>
      <c r="AK22" s="32">
        <v>1800</v>
      </c>
      <c r="AL22" s="32">
        <v>5550</v>
      </c>
      <c r="AM22" s="32">
        <v>6550</v>
      </c>
      <c r="AN22" s="33">
        <v>9967</v>
      </c>
      <c r="BJ22" s="91" t="s">
        <v>668</v>
      </c>
      <c r="BK22" s="92" t="s">
        <v>21</v>
      </c>
      <c r="BL22" s="93" t="s">
        <v>265</v>
      </c>
      <c r="BR22" s="83"/>
      <c r="BS22" s="36" t="str">
        <f>IF(BR22="","",_xlfn.XLOOKUP(BR22,SD_Champions[Champion],SD_Champions[Rarity]))</f>
        <v/>
      </c>
      <c r="BT22" s="37" t="str">
        <f>IF(BR22="","",_xlfn.XLOOKUP(BR22,SD_Champions[Champion],SD_Champions[Affinity]))</f>
        <v/>
      </c>
    </row>
    <row r="23" spans="1:72" ht="15.75" thickBot="1" x14ac:dyDescent="0.3">
      <c r="E23" s="38">
        <v>3</v>
      </c>
      <c r="F23" s="175"/>
      <c r="G23" s="35"/>
      <c r="H23" s="36">
        <v>9</v>
      </c>
      <c r="I23" s="37"/>
      <c r="J23" s="175"/>
      <c r="K23" s="35"/>
      <c r="L23" s="36">
        <v>7</v>
      </c>
      <c r="M23" s="37"/>
      <c r="O23" s="43" t="s">
        <v>95</v>
      </c>
      <c r="P23" s="44" t="s">
        <v>96</v>
      </c>
      <c r="R23" s="41">
        <v>19</v>
      </c>
      <c r="S23" s="6"/>
      <c r="T23" s="46">
        <v>10536</v>
      </c>
      <c r="U23" s="42">
        <v>7466</v>
      </c>
      <c r="V23" s="42">
        <v>6867</v>
      </c>
      <c r="W23" s="42">
        <v>6858</v>
      </c>
      <c r="X23" s="37">
        <v>7119</v>
      </c>
      <c r="AD23" s="31" t="s">
        <v>97</v>
      </c>
      <c r="AE23" s="32">
        <v>3208</v>
      </c>
      <c r="AF23" s="32">
        <v>5778</v>
      </c>
      <c r="AG23" s="32">
        <v>10800</v>
      </c>
      <c r="AH23" s="33">
        <v>23976</v>
      </c>
      <c r="AI23" s="34"/>
      <c r="AJ23" s="31" t="s">
        <v>97</v>
      </c>
      <c r="AK23" s="32">
        <v>1850</v>
      </c>
      <c r="AL23" s="32">
        <v>5600</v>
      </c>
      <c r="AM23" s="32">
        <v>6600</v>
      </c>
      <c r="AN23" s="33">
        <v>10067</v>
      </c>
      <c r="BJ23" s="91" t="s">
        <v>442</v>
      </c>
      <c r="BK23" s="92" t="s">
        <v>263</v>
      </c>
      <c r="BL23" s="93" t="s">
        <v>264</v>
      </c>
      <c r="BR23" s="84"/>
      <c r="BS23" s="46" t="str">
        <f>IF(BR23="","",_xlfn.XLOOKUP(BR23,SD_Champions[Champion],SD_Champions[Rarity]))</f>
        <v/>
      </c>
      <c r="BT23" s="47" t="str">
        <f>IF(BR23="","",_xlfn.XLOOKUP(BR23,SD_Champions[Champion],SD_Champions[Affinity]))</f>
        <v/>
      </c>
    </row>
    <row r="24" spans="1:72" ht="15.75" thickBot="1" x14ac:dyDescent="0.3">
      <c r="A24" s="8" t="s">
        <v>128</v>
      </c>
      <c r="E24" s="38">
        <v>4</v>
      </c>
      <c r="F24" s="175"/>
      <c r="G24" s="35"/>
      <c r="H24" s="36"/>
      <c r="I24" s="37">
        <v>3</v>
      </c>
      <c r="J24" s="175"/>
      <c r="K24" s="35"/>
      <c r="L24" s="36"/>
      <c r="M24" s="37">
        <v>1</v>
      </c>
      <c r="O24" s="43" t="s">
        <v>99</v>
      </c>
      <c r="P24" s="44" t="s">
        <v>100</v>
      </c>
      <c r="R24" s="41">
        <v>20</v>
      </c>
      <c r="S24" s="6"/>
      <c r="T24" s="54">
        <v>0</v>
      </c>
      <c r="U24" s="42">
        <v>8235</v>
      </c>
      <c r="V24" s="42">
        <v>7483</v>
      </c>
      <c r="W24" s="42">
        <v>7430</v>
      </c>
      <c r="X24" s="37">
        <v>7681</v>
      </c>
      <c r="AD24" s="31" t="s">
        <v>101</v>
      </c>
      <c r="AE24" s="32">
        <v>3232</v>
      </c>
      <c r="AF24" s="32">
        <v>5814</v>
      </c>
      <c r="AG24" s="32">
        <v>10800</v>
      </c>
      <c r="AH24" s="33">
        <v>23976</v>
      </c>
      <c r="AI24" s="34"/>
      <c r="AJ24" s="31" t="s">
        <v>101</v>
      </c>
      <c r="AK24" s="32">
        <v>1900</v>
      </c>
      <c r="AL24" s="32">
        <v>5650</v>
      </c>
      <c r="AM24" s="32">
        <v>6650</v>
      </c>
      <c r="AN24" s="33">
        <v>10167</v>
      </c>
      <c r="BJ24" s="91" t="s">
        <v>767</v>
      </c>
      <c r="BK24" s="92" t="s">
        <v>16</v>
      </c>
      <c r="BL24" s="93" t="s">
        <v>265</v>
      </c>
    </row>
    <row r="25" spans="1:72" x14ac:dyDescent="0.25">
      <c r="A25" s="52" t="s">
        <v>276</v>
      </c>
      <c r="B25" t="s">
        <v>132</v>
      </c>
      <c r="E25" s="38">
        <v>5</v>
      </c>
      <c r="F25" s="175"/>
      <c r="G25" s="35"/>
      <c r="H25" s="36"/>
      <c r="I25" s="37">
        <v>3</v>
      </c>
      <c r="J25" s="175"/>
      <c r="K25" s="35"/>
      <c r="L25" s="36"/>
      <c r="M25" s="37">
        <v>2</v>
      </c>
      <c r="O25" s="43" t="s">
        <v>103</v>
      </c>
      <c r="P25" s="44" t="s">
        <v>104</v>
      </c>
      <c r="R25" s="41">
        <v>21</v>
      </c>
      <c r="S25" s="6"/>
      <c r="T25" s="6"/>
      <c r="U25" s="42">
        <v>9083</v>
      </c>
      <c r="V25" s="42">
        <v>8155</v>
      </c>
      <c r="W25" s="42">
        <v>8048</v>
      </c>
      <c r="X25" s="37">
        <v>8288</v>
      </c>
      <c r="AD25" s="31" t="s">
        <v>105</v>
      </c>
      <c r="AE25" s="32">
        <v>2908</v>
      </c>
      <c r="AF25" s="32">
        <v>5232</v>
      </c>
      <c r="AG25" s="32">
        <v>9600</v>
      </c>
      <c r="AH25" s="33">
        <v>26640</v>
      </c>
      <c r="AI25" s="34"/>
      <c r="AJ25" s="31" t="s">
        <v>105</v>
      </c>
      <c r="AK25" s="32">
        <v>2100</v>
      </c>
      <c r="AL25" s="32">
        <v>5850</v>
      </c>
      <c r="AM25" s="32">
        <v>6850</v>
      </c>
      <c r="AN25" s="33">
        <v>10269</v>
      </c>
      <c r="BJ25" s="91" t="s">
        <v>343</v>
      </c>
      <c r="BK25" s="92" t="s">
        <v>21</v>
      </c>
      <c r="BL25" s="93" t="s">
        <v>267</v>
      </c>
    </row>
    <row r="26" spans="1:72" ht="15.75" thickBot="1" x14ac:dyDescent="0.3">
      <c r="A26" s="52" t="s">
        <v>277</v>
      </c>
      <c r="B26" t="s">
        <v>136</v>
      </c>
      <c r="E26" s="48">
        <v>6</v>
      </c>
      <c r="F26" s="176"/>
      <c r="G26" s="45"/>
      <c r="H26" s="46"/>
      <c r="I26" s="47">
        <v>4</v>
      </c>
      <c r="J26" s="176"/>
      <c r="K26" s="45"/>
      <c r="L26" s="46"/>
      <c r="M26" s="47">
        <v>2</v>
      </c>
      <c r="O26" s="43" t="s">
        <v>107</v>
      </c>
      <c r="P26" s="44" t="s">
        <v>108</v>
      </c>
      <c r="R26" s="41">
        <v>22</v>
      </c>
      <c r="S26" s="6"/>
      <c r="T26" s="6"/>
      <c r="U26" s="42">
        <v>10018</v>
      </c>
      <c r="V26" s="42">
        <v>8888</v>
      </c>
      <c r="W26" s="42">
        <v>8719</v>
      </c>
      <c r="X26" s="37">
        <v>8942</v>
      </c>
      <c r="AD26" s="31" t="s">
        <v>109</v>
      </c>
      <c r="AE26" s="32">
        <v>3640</v>
      </c>
      <c r="AF26" s="32">
        <v>6576</v>
      </c>
      <c r="AG26" s="32">
        <v>12000</v>
      </c>
      <c r="AH26" s="33">
        <v>26640</v>
      </c>
      <c r="AI26" s="34"/>
      <c r="AJ26" s="31" t="s">
        <v>109</v>
      </c>
      <c r="AK26" s="32">
        <v>2100</v>
      </c>
      <c r="AL26" s="32">
        <v>5850</v>
      </c>
      <c r="AM26" s="32">
        <v>6850</v>
      </c>
      <c r="AN26" s="33">
        <v>10372</v>
      </c>
      <c r="BJ26" s="91" t="s">
        <v>876</v>
      </c>
      <c r="BK26" s="92" t="s">
        <v>16</v>
      </c>
      <c r="BL26" s="93" t="s">
        <v>264</v>
      </c>
    </row>
    <row r="27" spans="1:72" ht="15.75" thickBot="1" x14ac:dyDescent="0.3">
      <c r="O27" s="43" t="s">
        <v>112</v>
      </c>
      <c r="P27" s="44" t="s">
        <v>113</v>
      </c>
      <c r="R27" s="41">
        <v>23</v>
      </c>
      <c r="S27" s="6"/>
      <c r="T27" s="6"/>
      <c r="U27" s="42">
        <v>11050</v>
      </c>
      <c r="V27" s="42">
        <v>9686</v>
      </c>
      <c r="W27" s="42">
        <v>9445</v>
      </c>
      <c r="X27" s="37">
        <v>9648</v>
      </c>
      <c r="AD27" s="31" t="s">
        <v>114</v>
      </c>
      <c r="AE27" s="32">
        <v>3656</v>
      </c>
      <c r="AF27" s="32">
        <v>6616</v>
      </c>
      <c r="AG27" s="32">
        <v>12000</v>
      </c>
      <c r="AH27" s="33">
        <v>26640</v>
      </c>
      <c r="AI27" s="34"/>
      <c r="AJ27" s="31" t="s">
        <v>114</v>
      </c>
      <c r="AK27" s="32">
        <v>2150</v>
      </c>
      <c r="AL27" s="32">
        <v>5900</v>
      </c>
      <c r="AM27" s="32">
        <v>6900</v>
      </c>
      <c r="AN27" s="33">
        <v>10475</v>
      </c>
      <c r="BJ27" s="91" t="s">
        <v>568</v>
      </c>
      <c r="BK27" s="92" t="s">
        <v>20</v>
      </c>
      <c r="BL27" s="93" t="s">
        <v>264</v>
      </c>
    </row>
    <row r="28" spans="1:72" ht="15.75" thickBot="1" x14ac:dyDescent="0.3">
      <c r="A28" s="69" t="s">
        <v>304</v>
      </c>
      <c r="E28" s="170" t="s">
        <v>116</v>
      </c>
      <c r="F28" s="172"/>
      <c r="G28" s="49" t="s">
        <v>17</v>
      </c>
      <c r="H28" s="50" t="s">
        <v>18</v>
      </c>
      <c r="I28" s="51" t="s">
        <v>19</v>
      </c>
      <c r="J28" s="12"/>
      <c r="K28" s="49" t="s">
        <v>17</v>
      </c>
      <c r="L28" s="50" t="s">
        <v>18</v>
      </c>
      <c r="M28" s="51" t="s">
        <v>19</v>
      </c>
      <c r="O28" s="43" t="s">
        <v>117</v>
      </c>
      <c r="P28" s="44" t="s">
        <v>118</v>
      </c>
      <c r="R28" s="41">
        <v>24</v>
      </c>
      <c r="S28" s="6"/>
      <c r="T28" s="6"/>
      <c r="U28" s="42">
        <v>12188</v>
      </c>
      <c r="V28" s="42">
        <v>10556</v>
      </c>
      <c r="W28" s="42">
        <v>10231</v>
      </c>
      <c r="X28" s="37">
        <v>10410</v>
      </c>
      <c r="AD28" s="31" t="s">
        <v>119</v>
      </c>
      <c r="AE28" s="32">
        <v>3696</v>
      </c>
      <c r="AF28" s="32">
        <v>6660</v>
      </c>
      <c r="AG28" s="32">
        <v>12000</v>
      </c>
      <c r="AH28" s="33">
        <v>26640</v>
      </c>
      <c r="AI28" s="34"/>
      <c r="AJ28" s="31" t="s">
        <v>119</v>
      </c>
      <c r="AK28" s="32">
        <v>2200</v>
      </c>
      <c r="AL28" s="32">
        <v>5950</v>
      </c>
      <c r="AM28" s="32">
        <v>6950</v>
      </c>
      <c r="AN28" s="33">
        <v>10580</v>
      </c>
      <c r="BJ28" s="91" t="s">
        <v>604</v>
      </c>
      <c r="BK28" s="92" t="s">
        <v>21</v>
      </c>
      <c r="BL28" s="93" t="s">
        <v>264</v>
      </c>
    </row>
    <row r="29" spans="1:72" x14ac:dyDescent="0.25">
      <c r="A29" s="52" t="s">
        <v>305</v>
      </c>
      <c r="B29" s="6" t="s">
        <v>302</v>
      </c>
      <c r="C29" s="6"/>
      <c r="E29" s="21">
        <v>1</v>
      </c>
      <c r="F29" s="174" t="s">
        <v>37</v>
      </c>
      <c r="G29" s="23"/>
      <c r="H29" s="24"/>
      <c r="I29" s="25">
        <v>1</v>
      </c>
      <c r="J29" s="174" t="s">
        <v>38</v>
      </c>
      <c r="K29" s="23"/>
      <c r="L29" s="24">
        <v>5</v>
      </c>
      <c r="M29" s="25"/>
      <c r="O29" s="43" t="s">
        <v>122</v>
      </c>
      <c r="P29" s="44" t="s">
        <v>123</v>
      </c>
      <c r="R29" s="41">
        <v>25</v>
      </c>
      <c r="S29" s="6"/>
      <c r="T29" s="6"/>
      <c r="U29" s="42">
        <v>13442</v>
      </c>
      <c r="V29" s="42">
        <v>11504</v>
      </c>
      <c r="W29" s="42">
        <v>11084</v>
      </c>
      <c r="X29" s="37">
        <v>11232</v>
      </c>
      <c r="AD29" s="31" t="s">
        <v>124</v>
      </c>
      <c r="AE29" s="32">
        <v>3716</v>
      </c>
      <c r="AF29" s="32">
        <v>6664</v>
      </c>
      <c r="AG29" s="32">
        <v>12000</v>
      </c>
      <c r="AH29" s="33">
        <v>26640</v>
      </c>
      <c r="AI29" s="34"/>
      <c r="AJ29" s="31" t="s">
        <v>124</v>
      </c>
      <c r="AK29" s="32">
        <v>2250</v>
      </c>
      <c r="AL29" s="32">
        <v>6000</v>
      </c>
      <c r="AM29" s="32">
        <v>7000</v>
      </c>
      <c r="AN29" s="33">
        <v>10686</v>
      </c>
      <c r="BJ29" s="91" t="s">
        <v>735</v>
      </c>
      <c r="BK29" s="92" t="s">
        <v>16</v>
      </c>
      <c r="BL29" s="93" t="s">
        <v>264</v>
      </c>
    </row>
    <row r="30" spans="1:72" x14ac:dyDescent="0.25">
      <c r="A30" s="52" t="s">
        <v>306</v>
      </c>
      <c r="B30" s="6" t="s">
        <v>303</v>
      </c>
      <c r="C30" s="6"/>
      <c r="E30" s="38">
        <v>2</v>
      </c>
      <c r="F30" s="175"/>
      <c r="G30" s="35"/>
      <c r="H30" s="36"/>
      <c r="I30" s="37">
        <v>2</v>
      </c>
      <c r="J30" s="175"/>
      <c r="K30" s="35"/>
      <c r="L30" s="36"/>
      <c r="M30" s="37">
        <v>2</v>
      </c>
      <c r="O30" s="43" t="s">
        <v>125</v>
      </c>
      <c r="P30" s="44" t="s">
        <v>126</v>
      </c>
      <c r="R30" s="41">
        <v>26</v>
      </c>
      <c r="S30" s="6"/>
      <c r="T30" s="6"/>
      <c r="U30" s="42">
        <v>14827</v>
      </c>
      <c r="V30" s="42">
        <v>12537</v>
      </c>
      <c r="W30" s="42">
        <v>12007</v>
      </c>
      <c r="X30" s="37">
        <v>12119</v>
      </c>
      <c r="AD30" s="31" t="s">
        <v>127</v>
      </c>
      <c r="AE30" s="32">
        <v>3760</v>
      </c>
      <c r="AF30" s="32">
        <v>6696</v>
      </c>
      <c r="AG30" s="32">
        <v>12000</v>
      </c>
      <c r="AH30" s="33">
        <v>26640</v>
      </c>
      <c r="AI30" s="34"/>
      <c r="AJ30" s="31" t="s">
        <v>127</v>
      </c>
      <c r="AK30" s="32">
        <v>2300</v>
      </c>
      <c r="AL30" s="32">
        <v>6050</v>
      </c>
      <c r="AM30" s="32">
        <v>7050</v>
      </c>
      <c r="AN30" s="33">
        <v>10793</v>
      </c>
      <c r="BJ30" s="91" t="s">
        <v>884</v>
      </c>
      <c r="BK30" s="92" t="s">
        <v>21</v>
      </c>
      <c r="BL30" s="93" t="s">
        <v>265</v>
      </c>
    </row>
    <row r="31" spans="1:72" x14ac:dyDescent="0.25">
      <c r="A31" s="52" t="s">
        <v>307</v>
      </c>
      <c r="B31" s="6" t="s">
        <v>300</v>
      </c>
      <c r="C31" s="6"/>
      <c r="E31" s="38">
        <v>3</v>
      </c>
      <c r="F31" s="175"/>
      <c r="G31" s="35"/>
      <c r="H31" s="36"/>
      <c r="I31" s="37">
        <v>3</v>
      </c>
      <c r="J31" s="175"/>
      <c r="K31" s="35"/>
      <c r="L31" s="36"/>
      <c r="M31" s="37">
        <v>2</v>
      </c>
      <c r="O31" s="43" t="s">
        <v>129</v>
      </c>
      <c r="P31" s="44" t="s">
        <v>130</v>
      </c>
      <c r="R31" s="41">
        <v>27</v>
      </c>
      <c r="S31" s="6"/>
      <c r="T31" s="6"/>
      <c r="U31" s="42">
        <v>16353</v>
      </c>
      <c r="V31" s="42">
        <v>13663</v>
      </c>
      <c r="W31" s="42">
        <v>13007</v>
      </c>
      <c r="X31" s="37">
        <v>13076</v>
      </c>
      <c r="AD31" s="31" t="s">
        <v>131</v>
      </c>
      <c r="AE31" s="32">
        <v>3784</v>
      </c>
      <c r="AF31" s="32">
        <v>6744</v>
      </c>
      <c r="AG31" s="32">
        <v>12000</v>
      </c>
      <c r="AH31" s="33">
        <v>26640</v>
      </c>
      <c r="AI31" s="34"/>
      <c r="AJ31" s="31" t="s">
        <v>131</v>
      </c>
      <c r="AK31" s="32">
        <v>2350</v>
      </c>
      <c r="AL31" s="32">
        <v>6100</v>
      </c>
      <c r="AM31" s="32">
        <v>7100</v>
      </c>
      <c r="AN31" s="33">
        <v>10901</v>
      </c>
      <c r="BJ31" s="91" t="s">
        <v>889</v>
      </c>
      <c r="BK31" s="92" t="s">
        <v>16</v>
      </c>
      <c r="BL31" s="93" t="s">
        <v>266</v>
      </c>
    </row>
    <row r="32" spans="1:72" x14ac:dyDescent="0.25">
      <c r="A32" s="52" t="s">
        <v>308</v>
      </c>
      <c r="B32" s="6" t="s">
        <v>301</v>
      </c>
      <c r="C32" s="6"/>
      <c r="E32" s="38">
        <v>4</v>
      </c>
      <c r="F32" s="175"/>
      <c r="G32" s="35"/>
      <c r="H32" s="36"/>
      <c r="I32" s="37">
        <v>4</v>
      </c>
      <c r="J32" s="175"/>
      <c r="K32" s="35"/>
      <c r="L32" s="36"/>
      <c r="M32" s="37">
        <v>3</v>
      </c>
      <c r="O32" s="43" t="s">
        <v>133</v>
      </c>
      <c r="P32" s="44" t="s">
        <v>134</v>
      </c>
      <c r="R32" s="41">
        <v>28</v>
      </c>
      <c r="S32" s="6"/>
      <c r="T32" s="6"/>
      <c r="U32" s="42">
        <v>18037</v>
      </c>
      <c r="V32" s="42">
        <v>14890</v>
      </c>
      <c r="W32" s="42">
        <v>14090</v>
      </c>
      <c r="X32" s="37">
        <v>14109</v>
      </c>
      <c r="AD32" s="31" t="s">
        <v>135</v>
      </c>
      <c r="AE32" s="32">
        <v>3788</v>
      </c>
      <c r="AF32" s="32">
        <v>6723</v>
      </c>
      <c r="AG32" s="32">
        <v>12000</v>
      </c>
      <c r="AH32" s="33">
        <v>26640</v>
      </c>
      <c r="AI32" s="34"/>
      <c r="AJ32" s="31" t="s">
        <v>135</v>
      </c>
      <c r="AK32" s="32">
        <v>2550</v>
      </c>
      <c r="AL32" s="32">
        <v>6300</v>
      </c>
      <c r="AM32" s="32">
        <v>7300</v>
      </c>
      <c r="AN32" s="33">
        <v>11010</v>
      </c>
      <c r="BJ32" s="91" t="s">
        <v>617</v>
      </c>
      <c r="BK32" s="92" t="s">
        <v>16</v>
      </c>
      <c r="BL32" s="93" t="s">
        <v>265</v>
      </c>
    </row>
    <row r="33" spans="1:64" ht="15.75" thickBot="1" x14ac:dyDescent="0.3">
      <c r="A33" s="56" t="s">
        <v>170</v>
      </c>
      <c r="B33" s="6"/>
      <c r="C33" s="6"/>
      <c r="E33" s="38">
        <v>5</v>
      </c>
      <c r="F33" s="175"/>
      <c r="G33" s="35"/>
      <c r="H33" s="36"/>
      <c r="I33" s="37">
        <v>5</v>
      </c>
      <c r="J33" s="175"/>
      <c r="K33" s="35"/>
      <c r="L33" s="36"/>
      <c r="M33" s="37">
        <v>4</v>
      </c>
      <c r="O33" s="43" t="s">
        <v>137</v>
      </c>
      <c r="P33" s="44" t="s">
        <v>138</v>
      </c>
      <c r="R33" s="41">
        <v>29</v>
      </c>
      <c r="S33" s="6"/>
      <c r="T33" s="6"/>
      <c r="U33" s="46">
        <v>19894</v>
      </c>
      <c r="V33" s="42">
        <v>16227</v>
      </c>
      <c r="W33" s="42">
        <v>15264</v>
      </c>
      <c r="X33" s="37">
        <v>15223</v>
      </c>
      <c r="AD33" s="31" t="s">
        <v>139</v>
      </c>
      <c r="AE33" s="32">
        <v>4180</v>
      </c>
      <c r="AF33" s="32">
        <v>7458</v>
      </c>
      <c r="AG33" s="32">
        <v>13200</v>
      </c>
      <c r="AH33" s="33">
        <v>29304</v>
      </c>
      <c r="AI33" s="34"/>
      <c r="AJ33" s="31" t="s">
        <v>139</v>
      </c>
      <c r="AK33" s="32">
        <v>2550</v>
      </c>
      <c r="AL33" s="32">
        <v>6300</v>
      </c>
      <c r="AM33" s="32">
        <v>7300</v>
      </c>
      <c r="AN33" s="33">
        <v>11120</v>
      </c>
      <c r="BJ33" s="91" t="s">
        <v>431</v>
      </c>
      <c r="BK33" s="92" t="s">
        <v>21</v>
      </c>
      <c r="BL33" s="93" t="s">
        <v>267</v>
      </c>
    </row>
    <row r="34" spans="1:64" ht="15.75" thickBot="1" x14ac:dyDescent="0.3">
      <c r="A34" s="56"/>
      <c r="B34" s="6"/>
      <c r="C34" s="6"/>
      <c r="E34" s="48">
        <v>6</v>
      </c>
      <c r="F34" s="176"/>
      <c r="G34" s="45"/>
      <c r="H34" s="46"/>
      <c r="I34" s="47">
        <v>6</v>
      </c>
      <c r="J34" s="176"/>
      <c r="K34" s="45"/>
      <c r="L34" s="46"/>
      <c r="M34" s="47">
        <v>4</v>
      </c>
      <c r="O34" s="43" t="s">
        <v>140</v>
      </c>
      <c r="P34" s="44" t="s">
        <v>141</v>
      </c>
      <c r="R34" s="41">
        <v>30</v>
      </c>
      <c r="S34" s="6"/>
      <c r="T34" s="6"/>
      <c r="U34" s="55">
        <v>0</v>
      </c>
      <c r="V34" s="42">
        <v>17684</v>
      </c>
      <c r="W34" s="42">
        <v>16535</v>
      </c>
      <c r="X34" s="37">
        <v>16425</v>
      </c>
      <c r="AD34" s="31" t="s">
        <v>142</v>
      </c>
      <c r="AE34" s="32">
        <v>4224</v>
      </c>
      <c r="AF34" s="32">
        <v>7458</v>
      </c>
      <c r="AG34" s="32">
        <v>13200</v>
      </c>
      <c r="AH34" s="33">
        <v>29304</v>
      </c>
      <c r="AI34" s="34"/>
      <c r="AJ34" s="31" t="s">
        <v>142</v>
      </c>
      <c r="AK34" s="32">
        <v>2600</v>
      </c>
      <c r="AL34" s="32">
        <v>6350</v>
      </c>
      <c r="AM34" s="32">
        <v>7350</v>
      </c>
      <c r="AN34" s="33">
        <v>11231</v>
      </c>
      <c r="BJ34" s="91" t="s">
        <v>561</v>
      </c>
      <c r="BK34" s="92" t="s">
        <v>20</v>
      </c>
      <c r="BL34" s="93" t="s">
        <v>264</v>
      </c>
    </row>
    <row r="35" spans="1:64" x14ac:dyDescent="0.25">
      <c r="A35" s="56" t="s">
        <v>177</v>
      </c>
      <c r="B35" s="6"/>
      <c r="C35" s="6"/>
      <c r="O35" s="43" t="s">
        <v>143</v>
      </c>
      <c r="P35" s="44" t="s">
        <v>144</v>
      </c>
      <c r="R35" s="41">
        <v>31</v>
      </c>
      <c r="S35" s="6"/>
      <c r="T35" s="6"/>
      <c r="U35" s="6"/>
      <c r="V35" s="42">
        <v>19272</v>
      </c>
      <c r="W35" s="42">
        <v>17912</v>
      </c>
      <c r="X35" s="37">
        <v>17722</v>
      </c>
      <c r="AD35" s="31" t="s">
        <v>145</v>
      </c>
      <c r="AE35" s="32">
        <v>4248</v>
      </c>
      <c r="AF35" s="32">
        <v>7458</v>
      </c>
      <c r="AG35" s="32">
        <v>13200</v>
      </c>
      <c r="AH35" s="33">
        <v>29304</v>
      </c>
      <c r="AI35" s="34"/>
      <c r="AJ35" s="31" t="s">
        <v>145</v>
      </c>
      <c r="AK35" s="32">
        <v>2650</v>
      </c>
      <c r="AL35" s="32">
        <v>6400</v>
      </c>
      <c r="AM35" s="32">
        <v>7400</v>
      </c>
      <c r="AN35" s="33">
        <v>11343</v>
      </c>
      <c r="BJ35" s="91" t="s">
        <v>445</v>
      </c>
      <c r="BK35" s="92" t="s">
        <v>20</v>
      </c>
      <c r="BL35" s="93" t="s">
        <v>264</v>
      </c>
    </row>
    <row r="36" spans="1:64" x14ac:dyDescent="0.25">
      <c r="A36" s="56"/>
      <c r="B36" s="6"/>
      <c r="C36" s="6"/>
      <c r="O36" s="43" t="s">
        <v>146</v>
      </c>
      <c r="P36" s="44" t="s">
        <v>147</v>
      </c>
      <c r="R36" s="41">
        <v>32</v>
      </c>
      <c r="S36" s="6"/>
      <c r="T36" s="6"/>
      <c r="U36" s="6"/>
      <c r="V36" s="42">
        <v>21003</v>
      </c>
      <c r="W36" s="42">
        <v>19404</v>
      </c>
      <c r="X36" s="37">
        <v>19121</v>
      </c>
      <c r="AD36" s="31" t="s">
        <v>148</v>
      </c>
      <c r="AE36" s="32">
        <v>4288</v>
      </c>
      <c r="AF36" s="32">
        <v>7556</v>
      </c>
      <c r="AG36" s="32">
        <v>13200</v>
      </c>
      <c r="AH36" s="33">
        <v>29304</v>
      </c>
      <c r="AI36" s="34"/>
      <c r="AJ36" s="31" t="s">
        <v>148</v>
      </c>
      <c r="AK36" s="32">
        <v>2700</v>
      </c>
      <c r="AL36" s="32">
        <v>6450</v>
      </c>
      <c r="AM36" s="32">
        <v>7450</v>
      </c>
      <c r="AN36" s="33">
        <v>11457</v>
      </c>
      <c r="BJ36" s="91" t="s">
        <v>616</v>
      </c>
      <c r="BK36" s="92" t="s">
        <v>263</v>
      </c>
      <c r="BL36" s="93" t="s">
        <v>267</v>
      </c>
    </row>
    <row r="37" spans="1:64" x14ac:dyDescent="0.25">
      <c r="A37" s="56" t="s">
        <v>184</v>
      </c>
      <c r="B37" s="6"/>
      <c r="C37" s="6"/>
      <c r="O37" s="43" t="s">
        <v>149</v>
      </c>
      <c r="P37" s="44" t="s">
        <v>150</v>
      </c>
      <c r="R37" s="41">
        <v>33</v>
      </c>
      <c r="S37" s="6"/>
      <c r="T37" s="6"/>
      <c r="U37" s="6"/>
      <c r="V37" s="42">
        <v>22889</v>
      </c>
      <c r="W37" s="42">
        <v>21020</v>
      </c>
      <c r="X37" s="37">
        <v>20631</v>
      </c>
      <c r="AD37" s="31" t="s">
        <v>151</v>
      </c>
      <c r="AE37" s="32">
        <v>4312</v>
      </c>
      <c r="AF37" s="32">
        <v>7616</v>
      </c>
      <c r="AG37" s="32">
        <v>13200</v>
      </c>
      <c r="AH37" s="33">
        <v>29304</v>
      </c>
      <c r="AI37" s="34"/>
      <c r="AJ37" s="31" t="s">
        <v>151</v>
      </c>
      <c r="AK37" s="32">
        <v>2750</v>
      </c>
      <c r="AL37" s="32">
        <v>6500</v>
      </c>
      <c r="AM37" s="32">
        <v>7500</v>
      </c>
      <c r="AN37" s="33">
        <v>11571</v>
      </c>
      <c r="BJ37" s="91" t="s">
        <v>496</v>
      </c>
      <c r="BK37" s="92" t="s">
        <v>20</v>
      </c>
      <c r="BL37" s="93" t="s">
        <v>266</v>
      </c>
    </row>
    <row r="38" spans="1:64" x14ac:dyDescent="0.25">
      <c r="A38" s="56"/>
      <c r="B38" s="6"/>
      <c r="C38" s="6"/>
      <c r="O38" s="43" t="s">
        <v>152</v>
      </c>
      <c r="P38" s="44" t="s">
        <v>153</v>
      </c>
      <c r="R38" s="41">
        <v>34</v>
      </c>
      <c r="S38" s="6"/>
      <c r="T38" s="6"/>
      <c r="U38" s="6"/>
      <c r="V38" s="42">
        <v>24945</v>
      </c>
      <c r="W38" s="42">
        <v>22770</v>
      </c>
      <c r="X38" s="37">
        <v>22260</v>
      </c>
      <c r="AD38" s="31" t="s">
        <v>154</v>
      </c>
      <c r="AE38" s="32">
        <v>4352</v>
      </c>
      <c r="AF38" s="32">
        <v>7616</v>
      </c>
      <c r="AG38" s="32">
        <v>13200</v>
      </c>
      <c r="AH38" s="33">
        <v>29304</v>
      </c>
      <c r="AI38" s="34"/>
      <c r="AJ38" s="31" t="s">
        <v>154</v>
      </c>
      <c r="AK38" s="32">
        <v>2800</v>
      </c>
      <c r="AL38" s="32">
        <v>6550</v>
      </c>
      <c r="AM38" s="32">
        <v>7550</v>
      </c>
      <c r="AN38" s="33">
        <v>11687</v>
      </c>
      <c r="BJ38" s="91" t="s">
        <v>869</v>
      </c>
      <c r="BK38" s="92" t="s">
        <v>20</v>
      </c>
      <c r="BL38" s="93" t="s">
        <v>267</v>
      </c>
    </row>
    <row r="39" spans="1:64" x14ac:dyDescent="0.25">
      <c r="O39" s="43" t="s">
        <v>155</v>
      </c>
      <c r="P39" s="44" t="s">
        <v>156</v>
      </c>
      <c r="R39" s="41">
        <v>35</v>
      </c>
      <c r="S39" s="6"/>
      <c r="T39" s="6"/>
      <c r="U39" s="6"/>
      <c r="V39" s="42">
        <v>27185</v>
      </c>
      <c r="W39" s="42">
        <v>24667</v>
      </c>
      <c r="X39" s="37">
        <v>24018</v>
      </c>
      <c r="AD39" s="31" t="s">
        <v>157</v>
      </c>
      <c r="AE39" s="32">
        <v>4368</v>
      </c>
      <c r="AF39" s="32">
        <v>7584</v>
      </c>
      <c r="AG39" s="32">
        <v>13200</v>
      </c>
      <c r="AH39" s="33">
        <v>29304</v>
      </c>
      <c r="AI39" s="34"/>
      <c r="AJ39" s="31" t="s">
        <v>157</v>
      </c>
      <c r="AK39" s="32">
        <v>3000</v>
      </c>
      <c r="AL39" s="32">
        <v>6750</v>
      </c>
      <c r="AM39" s="32">
        <v>7750</v>
      </c>
      <c r="AN39" s="33">
        <v>11804</v>
      </c>
      <c r="BJ39" s="91" t="s">
        <v>835</v>
      </c>
      <c r="BK39" s="92" t="s">
        <v>21</v>
      </c>
      <c r="BL39" s="93" t="s">
        <v>265</v>
      </c>
    </row>
    <row r="40" spans="1:64" x14ac:dyDescent="0.25">
      <c r="O40" s="43" t="s">
        <v>158</v>
      </c>
      <c r="P40" s="44" t="s">
        <v>159</v>
      </c>
      <c r="R40" s="41">
        <v>36</v>
      </c>
      <c r="S40" s="6"/>
      <c r="T40" s="6"/>
      <c r="U40" s="6"/>
      <c r="V40" s="42">
        <v>29627</v>
      </c>
      <c r="W40" s="42">
        <v>26721</v>
      </c>
      <c r="X40" s="37">
        <v>25914</v>
      </c>
      <c r="AD40" s="31" t="s">
        <v>160</v>
      </c>
      <c r="AE40" s="32">
        <v>4816</v>
      </c>
      <c r="AF40" s="32">
        <v>8448</v>
      </c>
      <c r="AG40" s="32">
        <v>14400</v>
      </c>
      <c r="AH40" s="33">
        <v>31968</v>
      </c>
      <c r="AI40" s="34"/>
      <c r="AJ40" s="31" t="s">
        <v>160</v>
      </c>
      <c r="AK40" s="32">
        <v>3000</v>
      </c>
      <c r="AL40" s="32">
        <v>6750</v>
      </c>
      <c r="AM40" s="32">
        <v>7750</v>
      </c>
      <c r="AN40" s="33">
        <v>11922</v>
      </c>
      <c r="BJ40" s="91" t="s">
        <v>470</v>
      </c>
      <c r="BK40" s="92" t="s">
        <v>20</v>
      </c>
      <c r="BL40" s="93" t="s">
        <v>266</v>
      </c>
    </row>
    <row r="41" spans="1:64" x14ac:dyDescent="0.25">
      <c r="O41" s="43" t="s">
        <v>161</v>
      </c>
      <c r="P41" s="44" t="s">
        <v>162</v>
      </c>
      <c r="R41" s="41">
        <v>37</v>
      </c>
      <c r="S41" s="6"/>
      <c r="T41" s="6"/>
      <c r="U41" s="6"/>
      <c r="V41" s="42">
        <v>32287</v>
      </c>
      <c r="W41" s="42">
        <v>28947</v>
      </c>
      <c r="X41" s="37">
        <v>27961</v>
      </c>
      <c r="AD41" s="31" t="s">
        <v>163</v>
      </c>
      <c r="AE41" s="32">
        <v>4840</v>
      </c>
      <c r="AF41" s="32">
        <v>8448</v>
      </c>
      <c r="AG41" s="32">
        <v>14400</v>
      </c>
      <c r="AH41" s="33">
        <v>31968</v>
      </c>
      <c r="AI41" s="34"/>
      <c r="AJ41" s="31" t="s">
        <v>163</v>
      </c>
      <c r="AK41" s="32">
        <v>3050</v>
      </c>
      <c r="AL41" s="32">
        <v>6800</v>
      </c>
      <c r="AM41" s="32">
        <v>7800</v>
      </c>
      <c r="AN41" s="33">
        <v>12041</v>
      </c>
      <c r="BJ41" s="91" t="s">
        <v>771</v>
      </c>
      <c r="BK41" s="92" t="s">
        <v>21</v>
      </c>
      <c r="BL41" s="93" t="s">
        <v>267</v>
      </c>
    </row>
    <row r="42" spans="1:64" x14ac:dyDescent="0.25">
      <c r="O42" s="43" t="s">
        <v>164</v>
      </c>
      <c r="P42" s="44" t="s">
        <v>165</v>
      </c>
      <c r="R42" s="41">
        <v>38</v>
      </c>
      <c r="S42" s="6"/>
      <c r="T42" s="6"/>
      <c r="U42" s="6"/>
      <c r="V42" s="42">
        <v>35187</v>
      </c>
      <c r="W42" s="42">
        <v>31358</v>
      </c>
      <c r="X42" s="37">
        <v>30168</v>
      </c>
      <c r="AD42" s="31" t="s">
        <v>166</v>
      </c>
      <c r="AE42" s="32">
        <v>4872</v>
      </c>
      <c r="AF42" s="32">
        <v>8448</v>
      </c>
      <c r="AG42" s="32">
        <v>14400</v>
      </c>
      <c r="AH42" s="33">
        <v>31968</v>
      </c>
      <c r="AI42" s="34"/>
      <c r="AJ42" s="31" t="s">
        <v>166</v>
      </c>
      <c r="AK42" s="32">
        <v>3100</v>
      </c>
      <c r="AL42" s="32">
        <v>6850</v>
      </c>
      <c r="AM42" s="32">
        <v>7850</v>
      </c>
      <c r="AN42" s="33">
        <v>12162</v>
      </c>
      <c r="BJ42" s="91" t="s">
        <v>618</v>
      </c>
      <c r="BK42" s="92" t="s">
        <v>21</v>
      </c>
      <c r="BL42" s="93" t="s">
        <v>266</v>
      </c>
    </row>
    <row r="43" spans="1:64" ht="15.75" thickBot="1" x14ac:dyDescent="0.3">
      <c r="O43" s="43" t="s">
        <v>167</v>
      </c>
      <c r="P43" s="44" t="s">
        <v>168</v>
      </c>
      <c r="R43" s="41">
        <v>39</v>
      </c>
      <c r="S43" s="6"/>
      <c r="T43" s="6"/>
      <c r="U43" s="6"/>
      <c r="V43" s="46">
        <v>38347</v>
      </c>
      <c r="W43" s="42">
        <v>33970</v>
      </c>
      <c r="X43" s="37">
        <v>32551</v>
      </c>
      <c r="AD43" s="31" t="s">
        <v>169</v>
      </c>
      <c r="AE43" s="32">
        <v>4920</v>
      </c>
      <c r="AF43" s="32">
        <v>8576</v>
      </c>
      <c r="AG43" s="32">
        <v>14400</v>
      </c>
      <c r="AH43" s="33">
        <v>31968</v>
      </c>
      <c r="AI43" s="34"/>
      <c r="AJ43" s="31" t="s">
        <v>169</v>
      </c>
      <c r="AK43" s="32">
        <v>3150</v>
      </c>
      <c r="AL43" s="32">
        <v>6900</v>
      </c>
      <c r="AM43" s="32">
        <v>7900</v>
      </c>
      <c r="AN43" s="33">
        <v>12283</v>
      </c>
      <c r="BJ43" s="91" t="s">
        <v>510</v>
      </c>
      <c r="BK43" s="92" t="s">
        <v>21</v>
      </c>
      <c r="BL43" s="93" t="s">
        <v>265</v>
      </c>
    </row>
    <row r="44" spans="1:64" ht="15.75" thickBot="1" x14ac:dyDescent="0.3">
      <c r="O44" s="43" t="s">
        <v>171</v>
      </c>
      <c r="P44" s="44" t="s">
        <v>172</v>
      </c>
      <c r="R44" s="41">
        <v>40</v>
      </c>
      <c r="S44" s="6"/>
      <c r="T44" s="6"/>
      <c r="U44" s="6"/>
      <c r="V44" s="54">
        <v>0</v>
      </c>
      <c r="W44" s="42">
        <v>36799</v>
      </c>
      <c r="X44" s="37">
        <v>35121</v>
      </c>
      <c r="AD44" s="31" t="s">
        <v>173</v>
      </c>
      <c r="AE44" s="32">
        <v>4928</v>
      </c>
      <c r="AF44" s="32">
        <v>8592</v>
      </c>
      <c r="AG44" s="32">
        <v>14400</v>
      </c>
      <c r="AH44" s="33">
        <v>31968</v>
      </c>
      <c r="AI44" s="34"/>
      <c r="AJ44" s="31" t="s">
        <v>173</v>
      </c>
      <c r="AK44" s="32">
        <v>3200</v>
      </c>
      <c r="AL44" s="32">
        <v>6950</v>
      </c>
      <c r="AM44" s="32">
        <v>7950</v>
      </c>
      <c r="AN44" s="33">
        <v>12406</v>
      </c>
      <c r="BJ44" s="91" t="s">
        <v>754</v>
      </c>
      <c r="BK44" s="92" t="s">
        <v>21</v>
      </c>
      <c r="BL44" s="93" t="s">
        <v>266</v>
      </c>
    </row>
    <row r="45" spans="1:64" x14ac:dyDescent="0.25">
      <c r="O45" s="43" t="s">
        <v>174</v>
      </c>
      <c r="P45" s="44" t="s">
        <v>175</v>
      </c>
      <c r="R45" s="41">
        <v>41</v>
      </c>
      <c r="S45" s="6"/>
      <c r="T45" s="6"/>
      <c r="U45" s="6"/>
      <c r="V45" s="6"/>
      <c r="W45" s="42">
        <v>39864</v>
      </c>
      <c r="X45" s="37">
        <v>37894</v>
      </c>
      <c r="AD45" s="31" t="s">
        <v>176</v>
      </c>
      <c r="AE45" s="32">
        <v>4944</v>
      </c>
      <c r="AF45" s="32">
        <v>8640</v>
      </c>
      <c r="AG45" s="32">
        <v>14400</v>
      </c>
      <c r="AH45" s="33">
        <v>31968</v>
      </c>
      <c r="AI45" s="34"/>
      <c r="AJ45" s="31" t="s">
        <v>176</v>
      </c>
      <c r="AK45" s="32">
        <v>3250</v>
      </c>
      <c r="AL45" s="32">
        <v>7000</v>
      </c>
      <c r="AM45" s="32">
        <v>8000</v>
      </c>
      <c r="AN45" s="33">
        <v>12530</v>
      </c>
      <c r="BJ45" s="91" t="s">
        <v>509</v>
      </c>
      <c r="BK45" s="92" t="s">
        <v>263</v>
      </c>
      <c r="BL45" s="93" t="s">
        <v>266</v>
      </c>
    </row>
    <row r="46" spans="1:64" x14ac:dyDescent="0.25">
      <c r="O46" s="57" t="s">
        <v>178</v>
      </c>
      <c r="P46" s="44" t="s">
        <v>179</v>
      </c>
      <c r="R46" s="41">
        <v>42</v>
      </c>
      <c r="S46" s="6"/>
      <c r="T46" s="6"/>
      <c r="U46" s="6"/>
      <c r="V46" s="6"/>
      <c r="W46" s="42">
        <v>43184</v>
      </c>
      <c r="X46" s="37">
        <v>40886</v>
      </c>
      <c r="AD46" s="31" t="s">
        <v>180</v>
      </c>
      <c r="AE46" s="32">
        <v>4576</v>
      </c>
      <c r="AF46" s="32">
        <v>7888</v>
      </c>
      <c r="AG46" s="32">
        <v>13200</v>
      </c>
      <c r="AH46" s="33">
        <v>31968</v>
      </c>
      <c r="AI46" s="34"/>
      <c r="AJ46" s="31" t="s">
        <v>180</v>
      </c>
      <c r="AK46" s="32">
        <v>3450</v>
      </c>
      <c r="AL46" s="32">
        <v>7200</v>
      </c>
      <c r="AM46" s="32">
        <v>8200</v>
      </c>
      <c r="AN46" s="33">
        <v>12655</v>
      </c>
      <c r="BJ46" s="91" t="s">
        <v>489</v>
      </c>
      <c r="BK46" s="92" t="s">
        <v>16</v>
      </c>
      <c r="BL46" s="93" t="s">
        <v>264</v>
      </c>
    </row>
    <row r="47" spans="1:64" x14ac:dyDescent="0.25">
      <c r="O47" s="57" t="s">
        <v>181</v>
      </c>
      <c r="P47" s="44" t="s">
        <v>182</v>
      </c>
      <c r="R47" s="41">
        <v>43</v>
      </c>
      <c r="S47" s="6"/>
      <c r="T47" s="6"/>
      <c r="U47" s="6"/>
      <c r="V47" s="6"/>
      <c r="W47" s="42">
        <v>46780</v>
      </c>
      <c r="X47" s="37">
        <v>44115</v>
      </c>
      <c r="AD47" s="31" t="s">
        <v>183</v>
      </c>
      <c r="AE47" s="32">
        <v>4816</v>
      </c>
      <c r="AF47" s="32">
        <v>8784</v>
      </c>
      <c r="AG47" s="32">
        <v>14400</v>
      </c>
      <c r="AH47" s="33">
        <v>31968</v>
      </c>
      <c r="AI47" s="34"/>
      <c r="AJ47" s="31" t="s">
        <v>183</v>
      </c>
      <c r="AK47" s="32">
        <v>3450</v>
      </c>
      <c r="AL47" s="32">
        <v>7200</v>
      </c>
      <c r="AM47" s="32">
        <v>8200</v>
      </c>
      <c r="AN47" s="33">
        <v>12782</v>
      </c>
      <c r="BJ47" s="91" t="s">
        <v>591</v>
      </c>
      <c r="BK47" s="92" t="s">
        <v>16</v>
      </c>
      <c r="BL47" s="93" t="s">
        <v>265</v>
      </c>
    </row>
    <row r="48" spans="1:64" x14ac:dyDescent="0.25">
      <c r="O48" s="57" t="s">
        <v>185</v>
      </c>
      <c r="P48" s="44" t="s">
        <v>186</v>
      </c>
      <c r="R48" s="41">
        <v>44</v>
      </c>
      <c r="S48" s="6"/>
      <c r="T48" s="6"/>
      <c r="U48" s="6"/>
      <c r="V48" s="6"/>
      <c r="W48" s="42">
        <v>50677</v>
      </c>
      <c r="X48" s="37">
        <v>47598</v>
      </c>
      <c r="AD48" s="31" t="s">
        <v>187</v>
      </c>
      <c r="AE48" s="32">
        <v>5368</v>
      </c>
      <c r="AF48" s="32">
        <v>8784</v>
      </c>
      <c r="AG48" s="32">
        <v>14400</v>
      </c>
      <c r="AH48" s="33">
        <v>31968</v>
      </c>
      <c r="AI48" s="34"/>
      <c r="AJ48" s="31" t="s">
        <v>187</v>
      </c>
      <c r="AK48" s="32">
        <v>3500</v>
      </c>
      <c r="AL48" s="32">
        <v>7250</v>
      </c>
      <c r="AM48" s="32">
        <v>8250</v>
      </c>
      <c r="AN48" s="33">
        <v>12910</v>
      </c>
      <c r="BJ48" s="91" t="s">
        <v>392</v>
      </c>
      <c r="BK48" s="92" t="s">
        <v>16</v>
      </c>
      <c r="BL48" s="93" t="s">
        <v>264</v>
      </c>
    </row>
    <row r="49" spans="15:64" x14ac:dyDescent="0.25">
      <c r="O49" s="57" t="s">
        <v>188</v>
      </c>
      <c r="P49" s="44" t="s">
        <v>189</v>
      </c>
      <c r="R49" s="41">
        <v>45</v>
      </c>
      <c r="S49" s="6"/>
      <c r="T49" s="6"/>
      <c r="U49" s="6"/>
      <c r="V49" s="6"/>
      <c r="W49" s="42">
        <v>54897</v>
      </c>
      <c r="X49" s="37">
        <v>51357</v>
      </c>
      <c r="AD49" s="31" t="s">
        <v>190</v>
      </c>
      <c r="AE49" s="32">
        <v>5136</v>
      </c>
      <c r="AF49" s="32">
        <v>8784</v>
      </c>
      <c r="AG49" s="32">
        <v>14400</v>
      </c>
      <c r="AH49" s="33">
        <v>31968</v>
      </c>
      <c r="AI49" s="34"/>
      <c r="AJ49" s="31" t="s">
        <v>190</v>
      </c>
      <c r="AK49" s="32">
        <v>3550</v>
      </c>
      <c r="AL49" s="32">
        <v>7300</v>
      </c>
      <c r="AM49" s="32">
        <v>8300</v>
      </c>
      <c r="AN49" s="33">
        <v>13039</v>
      </c>
      <c r="BJ49" s="91" t="s">
        <v>403</v>
      </c>
      <c r="BK49" s="92" t="s">
        <v>21</v>
      </c>
      <c r="BL49" s="93" t="s">
        <v>264</v>
      </c>
    </row>
    <row r="50" spans="15:64" x14ac:dyDescent="0.25">
      <c r="O50" s="57" t="s">
        <v>191</v>
      </c>
      <c r="P50" s="44" t="s">
        <v>192</v>
      </c>
      <c r="R50" s="41">
        <v>46</v>
      </c>
      <c r="S50" s="6"/>
      <c r="T50" s="6"/>
      <c r="U50" s="6"/>
      <c r="V50" s="6"/>
      <c r="W50" s="42">
        <v>59470</v>
      </c>
      <c r="X50" s="37">
        <v>55412</v>
      </c>
      <c r="AD50" s="31" t="s">
        <v>193</v>
      </c>
      <c r="AE50" s="32">
        <v>5160</v>
      </c>
      <c r="AF50" s="32">
        <v>8800</v>
      </c>
      <c r="AG50" s="32">
        <v>14400</v>
      </c>
      <c r="AH50" s="33">
        <v>31968</v>
      </c>
      <c r="AI50" s="34"/>
      <c r="AJ50" s="31" t="s">
        <v>193</v>
      </c>
      <c r="AK50" s="32">
        <v>3600</v>
      </c>
      <c r="AL50" s="32">
        <v>7350</v>
      </c>
      <c r="AM50" s="32">
        <v>8350</v>
      </c>
      <c r="AN50" s="33">
        <v>13169</v>
      </c>
      <c r="BJ50" s="91" t="s">
        <v>613</v>
      </c>
      <c r="BK50" s="92" t="s">
        <v>16</v>
      </c>
      <c r="BL50" s="93" t="s">
        <v>264</v>
      </c>
    </row>
    <row r="51" spans="15:64" x14ac:dyDescent="0.25">
      <c r="O51" s="57" t="s">
        <v>194</v>
      </c>
      <c r="P51" s="44" t="s">
        <v>195</v>
      </c>
      <c r="R51" s="41">
        <v>47</v>
      </c>
      <c r="S51" s="6"/>
      <c r="T51" s="6"/>
      <c r="U51" s="6"/>
      <c r="V51" s="6"/>
      <c r="W51" s="42">
        <v>64423</v>
      </c>
      <c r="X51" s="37">
        <v>59787</v>
      </c>
      <c r="AD51" s="31" t="s">
        <v>196</v>
      </c>
      <c r="AE51" s="32">
        <v>5188</v>
      </c>
      <c r="AF51" s="32">
        <v>8824</v>
      </c>
      <c r="AG51" s="32">
        <v>14400</v>
      </c>
      <c r="AH51" s="33">
        <v>31968</v>
      </c>
      <c r="AI51" s="34"/>
      <c r="AJ51" s="31" t="s">
        <v>196</v>
      </c>
      <c r="AK51" s="32">
        <v>3650</v>
      </c>
      <c r="AL51" s="32">
        <v>7400</v>
      </c>
      <c r="AM51" s="32">
        <v>8400</v>
      </c>
      <c r="AN51" s="33">
        <v>13301</v>
      </c>
      <c r="BJ51" s="91" t="s">
        <v>430</v>
      </c>
      <c r="BK51" s="92" t="s">
        <v>16</v>
      </c>
      <c r="BL51" s="93" t="s">
        <v>266</v>
      </c>
    </row>
    <row r="52" spans="15:64" x14ac:dyDescent="0.25">
      <c r="O52" s="57" t="s">
        <v>197</v>
      </c>
      <c r="P52" s="44" t="s">
        <v>198</v>
      </c>
      <c r="R52" s="41">
        <v>48</v>
      </c>
      <c r="S52" s="6"/>
      <c r="T52" s="6"/>
      <c r="U52" s="6"/>
      <c r="V52" s="6"/>
      <c r="W52" s="42">
        <v>69788</v>
      </c>
      <c r="X52" s="37">
        <v>64508</v>
      </c>
      <c r="AD52" s="31" t="s">
        <v>199</v>
      </c>
      <c r="AE52" s="32">
        <v>5232</v>
      </c>
      <c r="AF52" s="32">
        <v>8952</v>
      </c>
      <c r="AG52" s="32">
        <v>14400</v>
      </c>
      <c r="AH52" s="33">
        <v>31968</v>
      </c>
      <c r="AI52" s="34"/>
      <c r="AJ52" s="31" t="s">
        <v>199</v>
      </c>
      <c r="AK52" s="32">
        <v>3700</v>
      </c>
      <c r="AL52" s="32">
        <v>7450</v>
      </c>
      <c r="AM52" s="32">
        <v>8450</v>
      </c>
      <c r="AN52" s="33">
        <v>13434</v>
      </c>
      <c r="BJ52" s="91" t="s">
        <v>650</v>
      </c>
      <c r="BK52" s="92" t="s">
        <v>263</v>
      </c>
      <c r="BL52" s="93" t="s">
        <v>265</v>
      </c>
    </row>
    <row r="53" spans="15:64" ht="15.75" thickBot="1" x14ac:dyDescent="0.3">
      <c r="O53" s="57" t="s">
        <v>200</v>
      </c>
      <c r="P53" s="44" t="s">
        <v>201</v>
      </c>
      <c r="R53" s="41">
        <v>49</v>
      </c>
      <c r="S53" s="6"/>
      <c r="T53" s="6"/>
      <c r="U53" s="6"/>
      <c r="V53" s="6"/>
      <c r="W53" s="46">
        <v>75601</v>
      </c>
      <c r="X53" s="37">
        <v>69602</v>
      </c>
      <c r="AD53" s="31" t="s">
        <v>202</v>
      </c>
      <c r="AE53" s="32">
        <v>5268</v>
      </c>
      <c r="AF53" s="32">
        <v>8928</v>
      </c>
      <c r="AG53" s="32">
        <v>14400</v>
      </c>
      <c r="AH53" s="33">
        <v>31968</v>
      </c>
      <c r="AI53" s="34"/>
      <c r="AJ53" s="31" t="s">
        <v>202</v>
      </c>
      <c r="AK53" s="32">
        <v>3900</v>
      </c>
      <c r="AL53" s="32">
        <v>7650</v>
      </c>
      <c r="AM53" s="32">
        <v>8650</v>
      </c>
      <c r="AN53" s="33">
        <v>13568</v>
      </c>
      <c r="BJ53" s="91" t="s">
        <v>721</v>
      </c>
      <c r="BK53" s="92" t="s">
        <v>263</v>
      </c>
      <c r="BL53" s="93" t="s">
        <v>266</v>
      </c>
    </row>
    <row r="54" spans="15:64" ht="15.75" thickBot="1" x14ac:dyDescent="0.3">
      <c r="O54" s="57" t="s">
        <v>203</v>
      </c>
      <c r="P54" s="44" t="s">
        <v>204</v>
      </c>
      <c r="R54" s="41">
        <v>50</v>
      </c>
      <c r="S54" s="6"/>
      <c r="T54" s="6"/>
      <c r="U54" s="6"/>
      <c r="V54" s="6"/>
      <c r="W54" s="54">
        <v>0</v>
      </c>
      <c r="X54" s="37">
        <v>75098</v>
      </c>
      <c r="AD54" s="31" t="s">
        <v>205</v>
      </c>
      <c r="AE54" s="32">
        <v>5328</v>
      </c>
      <c r="AF54" s="32">
        <v>9144</v>
      </c>
      <c r="AG54" s="32">
        <v>14400</v>
      </c>
      <c r="AH54" s="33">
        <v>31968</v>
      </c>
      <c r="AI54" s="34"/>
      <c r="AJ54" s="31" t="s">
        <v>205</v>
      </c>
      <c r="AK54" s="32">
        <v>3900</v>
      </c>
      <c r="AL54" s="32">
        <v>7650</v>
      </c>
      <c r="AM54" s="32">
        <v>8650</v>
      </c>
      <c r="AN54" s="33">
        <v>13704</v>
      </c>
      <c r="BJ54" s="91" t="s">
        <v>608</v>
      </c>
      <c r="BK54" s="92" t="s">
        <v>16</v>
      </c>
      <c r="BL54" s="93" t="s">
        <v>264</v>
      </c>
    </row>
    <row r="55" spans="15:64" x14ac:dyDescent="0.25">
      <c r="O55" s="57" t="s">
        <v>206</v>
      </c>
      <c r="P55" s="44" t="s">
        <v>207</v>
      </c>
      <c r="R55" s="41">
        <v>51</v>
      </c>
      <c r="S55" s="6"/>
      <c r="T55" s="6"/>
      <c r="U55" s="6"/>
      <c r="V55" s="6"/>
      <c r="W55" s="6"/>
      <c r="X55" s="37">
        <v>81028</v>
      </c>
      <c r="AD55" s="31" t="s">
        <v>208</v>
      </c>
      <c r="AE55" s="32">
        <v>5368</v>
      </c>
      <c r="AF55" s="32">
        <v>9144</v>
      </c>
      <c r="AG55" s="32">
        <v>14400</v>
      </c>
      <c r="AH55" s="33">
        <v>31968</v>
      </c>
      <c r="AI55" s="34"/>
      <c r="AJ55" s="31" t="s">
        <v>208</v>
      </c>
      <c r="AK55" s="32">
        <v>3950</v>
      </c>
      <c r="AL55" s="32">
        <v>7700</v>
      </c>
      <c r="AM55" s="32">
        <v>8700</v>
      </c>
      <c r="AN55" s="33">
        <v>13841</v>
      </c>
      <c r="BJ55" s="91" t="s">
        <v>463</v>
      </c>
      <c r="BK55" s="92" t="s">
        <v>20</v>
      </c>
      <c r="BL55" s="93" t="s">
        <v>265</v>
      </c>
    </row>
    <row r="56" spans="15:64" x14ac:dyDescent="0.25">
      <c r="O56" s="57" t="s">
        <v>209</v>
      </c>
      <c r="P56" s="44" t="s">
        <v>40</v>
      </c>
      <c r="R56" s="41">
        <v>52</v>
      </c>
      <c r="S56" s="6"/>
      <c r="T56" s="6"/>
      <c r="U56" s="6"/>
      <c r="V56" s="6"/>
      <c r="W56" s="6"/>
      <c r="X56" s="37">
        <v>87426</v>
      </c>
      <c r="AD56" s="31" t="s">
        <v>210</v>
      </c>
      <c r="AE56" s="32">
        <v>5392</v>
      </c>
      <c r="AF56" s="32">
        <v>9144</v>
      </c>
      <c r="AG56" s="32">
        <v>14400</v>
      </c>
      <c r="AH56" s="33">
        <v>31968</v>
      </c>
      <c r="AI56" s="34"/>
      <c r="AJ56" s="31" t="s">
        <v>210</v>
      </c>
      <c r="AK56" s="32">
        <v>4000</v>
      </c>
      <c r="AL56" s="32">
        <v>7750</v>
      </c>
      <c r="AM56" s="32">
        <v>8750</v>
      </c>
      <c r="AN56" s="33">
        <v>13979</v>
      </c>
      <c r="BJ56" s="91" t="s">
        <v>600</v>
      </c>
      <c r="BK56" s="92" t="s">
        <v>20</v>
      </c>
      <c r="BL56" s="93" t="s">
        <v>264</v>
      </c>
    </row>
    <row r="57" spans="15:64" x14ac:dyDescent="0.25">
      <c r="O57" s="57" t="s">
        <v>211</v>
      </c>
      <c r="P57" s="44" t="s">
        <v>43</v>
      </c>
      <c r="R57" s="41">
        <v>53</v>
      </c>
      <c r="S57" s="6"/>
      <c r="T57" s="6"/>
      <c r="U57" s="6"/>
      <c r="V57" s="6"/>
      <c r="W57" s="6"/>
      <c r="X57" s="37">
        <v>94329</v>
      </c>
      <c r="AD57" s="31" t="s">
        <v>212</v>
      </c>
      <c r="AE57" s="32">
        <v>5424</v>
      </c>
      <c r="AF57" s="32">
        <v>9142</v>
      </c>
      <c r="AG57" s="32">
        <v>14400</v>
      </c>
      <c r="AH57" s="33">
        <v>31968</v>
      </c>
      <c r="AI57" s="34"/>
      <c r="AJ57" s="31" t="s">
        <v>212</v>
      </c>
      <c r="AK57" s="32">
        <v>4050</v>
      </c>
      <c r="AL57" s="32">
        <v>7800</v>
      </c>
      <c r="AM57" s="32">
        <v>8800</v>
      </c>
      <c r="AN57" s="33">
        <v>14119</v>
      </c>
      <c r="BJ57" s="91" t="s">
        <v>588</v>
      </c>
      <c r="BK57" s="92" t="s">
        <v>20</v>
      </c>
      <c r="BL57" s="93" t="s">
        <v>265</v>
      </c>
    </row>
    <row r="58" spans="15:64" x14ac:dyDescent="0.25">
      <c r="O58" s="57" t="s">
        <v>213</v>
      </c>
      <c r="P58" s="44" t="s">
        <v>46</v>
      </c>
      <c r="R58" s="41">
        <v>54</v>
      </c>
      <c r="S58" s="6"/>
      <c r="T58" s="6"/>
      <c r="U58" s="6"/>
      <c r="V58" s="6"/>
      <c r="W58" s="6"/>
      <c r="X58" s="37">
        <v>101778</v>
      </c>
      <c r="AD58" s="31" t="s">
        <v>214</v>
      </c>
      <c r="AE58" s="32">
        <v>5472</v>
      </c>
      <c r="AF58" s="32">
        <v>9232</v>
      </c>
      <c r="AG58" s="32">
        <v>14400</v>
      </c>
      <c r="AH58" s="33">
        <v>31968</v>
      </c>
      <c r="AI58" s="34"/>
      <c r="AJ58" s="31" t="s">
        <v>214</v>
      </c>
      <c r="AK58" s="32">
        <v>4100</v>
      </c>
      <c r="AL58" s="32">
        <v>7850</v>
      </c>
      <c r="AM58" s="32">
        <v>8850</v>
      </c>
      <c r="AN58" s="33">
        <v>14260</v>
      </c>
      <c r="BJ58" s="91" t="s">
        <v>549</v>
      </c>
      <c r="BK58" s="92" t="s">
        <v>20</v>
      </c>
      <c r="BL58" s="93" t="s">
        <v>266</v>
      </c>
    </row>
    <row r="59" spans="15:64" x14ac:dyDescent="0.25">
      <c r="O59" s="57" t="s">
        <v>215</v>
      </c>
      <c r="P59" s="44" t="s">
        <v>49</v>
      </c>
      <c r="R59" s="41">
        <v>55</v>
      </c>
      <c r="S59" s="6"/>
      <c r="T59" s="6"/>
      <c r="U59" s="6"/>
      <c r="V59" s="6"/>
      <c r="W59" s="6"/>
      <c r="X59" s="37">
        <v>109815</v>
      </c>
      <c r="AD59" s="31" t="s">
        <v>216</v>
      </c>
      <c r="AE59" s="32">
        <v>5512</v>
      </c>
      <c r="AF59" s="32">
        <v>9304</v>
      </c>
      <c r="AG59" s="32">
        <v>14400</v>
      </c>
      <c r="AH59" s="33">
        <v>31968</v>
      </c>
      <c r="AI59" s="34"/>
      <c r="AJ59" s="31" t="s">
        <v>216</v>
      </c>
      <c r="AK59" s="32">
        <v>4150</v>
      </c>
      <c r="AL59" s="32">
        <v>7900</v>
      </c>
      <c r="AM59" s="32">
        <v>8900</v>
      </c>
      <c r="AN59" s="33">
        <v>14403</v>
      </c>
      <c r="BJ59" s="91" t="s">
        <v>521</v>
      </c>
      <c r="BK59" s="92" t="s">
        <v>20</v>
      </c>
      <c r="BL59" s="93" t="s">
        <v>266</v>
      </c>
    </row>
    <row r="60" spans="15:64" x14ac:dyDescent="0.25">
      <c r="O60" s="57" t="s">
        <v>217</v>
      </c>
      <c r="P60" s="44" t="s">
        <v>52</v>
      </c>
      <c r="R60" s="41">
        <v>56</v>
      </c>
      <c r="S60" s="6"/>
      <c r="T60" s="6"/>
      <c r="U60" s="6"/>
      <c r="V60" s="6"/>
      <c r="W60" s="6"/>
      <c r="X60" s="37">
        <v>118486</v>
      </c>
      <c r="AD60" s="31" t="s">
        <v>218</v>
      </c>
      <c r="AE60" s="32">
        <v>5528</v>
      </c>
      <c r="AF60" s="32">
        <v>9330</v>
      </c>
      <c r="AG60" s="32">
        <v>14400</v>
      </c>
      <c r="AH60" s="33">
        <v>34632</v>
      </c>
      <c r="AI60" s="34"/>
      <c r="AJ60" s="31" t="s">
        <v>218</v>
      </c>
      <c r="AK60" s="32">
        <v>4350</v>
      </c>
      <c r="AL60" s="32">
        <v>8100</v>
      </c>
      <c r="AM60" s="32">
        <v>9100</v>
      </c>
      <c r="AN60" s="33">
        <v>14547</v>
      </c>
      <c r="BJ60" s="91" t="s">
        <v>415</v>
      </c>
      <c r="BK60" s="92" t="s">
        <v>20</v>
      </c>
      <c r="BL60" s="93" t="s">
        <v>266</v>
      </c>
    </row>
    <row r="61" spans="15:64" x14ac:dyDescent="0.25">
      <c r="O61" s="57" t="s">
        <v>219</v>
      </c>
      <c r="P61" s="44" t="s">
        <v>55</v>
      </c>
      <c r="R61" s="41">
        <v>57</v>
      </c>
      <c r="S61" s="6"/>
      <c r="T61" s="6"/>
      <c r="U61" s="6"/>
      <c r="V61" s="6"/>
      <c r="W61" s="6"/>
      <c r="X61" s="37">
        <v>127842</v>
      </c>
      <c r="AD61" s="31" t="s">
        <v>220</v>
      </c>
      <c r="AE61" s="32">
        <v>6048</v>
      </c>
      <c r="AF61" s="32">
        <v>10208</v>
      </c>
      <c r="AG61" s="32">
        <v>15600</v>
      </c>
      <c r="AH61" s="33">
        <v>34633</v>
      </c>
      <c r="AI61" s="34"/>
      <c r="AJ61" s="31" t="s">
        <v>220</v>
      </c>
      <c r="AK61" s="32">
        <v>4350</v>
      </c>
      <c r="AL61" s="32">
        <v>8100</v>
      </c>
      <c r="AM61" s="32">
        <v>9100</v>
      </c>
      <c r="AN61" s="33" t="s">
        <v>221</v>
      </c>
      <c r="BJ61" s="91" t="s">
        <v>626</v>
      </c>
      <c r="BK61" s="92" t="s">
        <v>20</v>
      </c>
      <c r="BL61" s="93" t="s">
        <v>266</v>
      </c>
    </row>
    <row r="62" spans="15:64" x14ac:dyDescent="0.25">
      <c r="O62" s="57" t="s">
        <v>222</v>
      </c>
      <c r="P62" s="44" t="s">
        <v>58</v>
      </c>
      <c r="R62" s="41">
        <v>58</v>
      </c>
      <c r="S62" s="6"/>
      <c r="T62" s="6"/>
      <c r="U62" s="6"/>
      <c r="V62" s="6"/>
      <c r="W62" s="6"/>
      <c r="X62" s="37">
        <v>137937</v>
      </c>
      <c r="AD62" s="31" t="s">
        <v>223</v>
      </c>
      <c r="AE62" s="32">
        <v>6080</v>
      </c>
      <c r="AF62" s="32">
        <v>10264</v>
      </c>
      <c r="AG62" s="32">
        <v>15600</v>
      </c>
      <c r="AH62" s="33">
        <v>34633</v>
      </c>
      <c r="AI62" s="34"/>
      <c r="AJ62" s="31" t="s">
        <v>223</v>
      </c>
      <c r="AK62" s="32">
        <v>4400</v>
      </c>
      <c r="AL62" s="32">
        <v>8150</v>
      </c>
      <c r="AM62" s="32">
        <v>9150</v>
      </c>
      <c r="AN62" s="33" t="s">
        <v>221</v>
      </c>
      <c r="BJ62" s="91" t="s">
        <v>802</v>
      </c>
      <c r="BK62" s="92" t="s">
        <v>20</v>
      </c>
      <c r="BL62" s="93" t="s">
        <v>264</v>
      </c>
    </row>
    <row r="63" spans="15:64" ht="15.75" thickBot="1" x14ac:dyDescent="0.3">
      <c r="O63" s="57" t="s">
        <v>224</v>
      </c>
      <c r="P63" s="44" t="s">
        <v>62</v>
      </c>
      <c r="R63" s="58">
        <v>59</v>
      </c>
      <c r="S63" s="6"/>
      <c r="T63" s="6"/>
      <c r="U63" s="6"/>
      <c r="V63" s="6"/>
      <c r="W63" s="6"/>
      <c r="X63" s="47">
        <v>148828</v>
      </c>
      <c r="AD63" s="31" t="s">
        <v>225</v>
      </c>
      <c r="AE63" s="32">
        <v>6080</v>
      </c>
      <c r="AF63" s="32">
        <v>10264</v>
      </c>
      <c r="AG63" s="32">
        <v>15600</v>
      </c>
      <c r="AH63" s="33">
        <v>34633</v>
      </c>
      <c r="AI63" s="34"/>
      <c r="AJ63" s="31" t="s">
        <v>225</v>
      </c>
      <c r="AK63" s="32">
        <v>4450</v>
      </c>
      <c r="AL63" s="32">
        <v>8200</v>
      </c>
      <c r="AM63" s="32">
        <v>9200</v>
      </c>
      <c r="AN63" s="33" t="s">
        <v>221</v>
      </c>
      <c r="BJ63" s="91" t="s">
        <v>667</v>
      </c>
      <c r="BK63" s="92" t="s">
        <v>20</v>
      </c>
      <c r="BL63" s="93" t="s">
        <v>266</v>
      </c>
    </row>
    <row r="64" spans="15:64" ht="15.75" thickBot="1" x14ac:dyDescent="0.3">
      <c r="O64" s="57" t="s">
        <v>226</v>
      </c>
      <c r="P64" s="44" t="s">
        <v>65</v>
      </c>
      <c r="R64" s="59">
        <v>60</v>
      </c>
      <c r="S64" s="60"/>
      <c r="T64" s="60"/>
      <c r="U64" s="60"/>
      <c r="V64" s="60"/>
      <c r="W64" s="60"/>
      <c r="X64" s="61">
        <v>0</v>
      </c>
      <c r="AD64" s="31" t="s">
        <v>227</v>
      </c>
      <c r="AE64" s="32">
        <v>6160</v>
      </c>
      <c r="AF64" s="32">
        <v>10320</v>
      </c>
      <c r="AG64" s="32">
        <v>15600</v>
      </c>
      <c r="AH64" s="33">
        <v>34633</v>
      </c>
      <c r="AI64" s="34"/>
      <c r="AJ64" s="31" t="s">
        <v>227</v>
      </c>
      <c r="AK64" s="32">
        <v>4500</v>
      </c>
      <c r="AL64" s="32">
        <v>8250</v>
      </c>
      <c r="AM64" s="32">
        <v>9250</v>
      </c>
      <c r="AN64" s="33" t="s">
        <v>221</v>
      </c>
      <c r="BJ64" s="91" t="s">
        <v>715</v>
      </c>
      <c r="BK64" s="92" t="s">
        <v>16</v>
      </c>
      <c r="BL64" s="93" t="s">
        <v>264</v>
      </c>
    </row>
    <row r="65" spans="15:64" x14ac:dyDescent="0.25">
      <c r="O65" s="57" t="s">
        <v>228</v>
      </c>
      <c r="P65" s="44" t="s">
        <v>68</v>
      </c>
      <c r="AD65" s="31" t="s">
        <v>229</v>
      </c>
      <c r="AE65" s="32">
        <v>6200</v>
      </c>
      <c r="AF65" s="32">
        <v>10320</v>
      </c>
      <c r="AG65" s="32">
        <v>15600</v>
      </c>
      <c r="AH65" s="33">
        <v>34633</v>
      </c>
      <c r="AI65" s="34"/>
      <c r="AJ65" s="31" t="s">
        <v>229</v>
      </c>
      <c r="AK65" s="32">
        <v>4550</v>
      </c>
      <c r="AL65" s="32">
        <v>8300</v>
      </c>
      <c r="AM65" s="32">
        <v>9300</v>
      </c>
      <c r="AN65" s="33" t="s">
        <v>221</v>
      </c>
      <c r="BJ65" s="91" t="s">
        <v>744</v>
      </c>
      <c r="BK65" s="92" t="s">
        <v>16</v>
      </c>
      <c r="BL65" s="93" t="s">
        <v>266</v>
      </c>
    </row>
    <row r="66" spans="15:64" x14ac:dyDescent="0.25">
      <c r="O66" s="57" t="s">
        <v>230</v>
      </c>
      <c r="P66" s="44" t="s">
        <v>71</v>
      </c>
      <c r="AD66" s="31" t="s">
        <v>231</v>
      </c>
      <c r="AE66" s="32">
        <v>6240</v>
      </c>
      <c r="AF66" s="32">
        <v>10320</v>
      </c>
      <c r="AG66" s="32">
        <v>15600</v>
      </c>
      <c r="AH66" s="33">
        <v>34633</v>
      </c>
      <c r="AI66" s="34"/>
      <c r="AJ66" s="31" t="s">
        <v>231</v>
      </c>
      <c r="AK66" s="32">
        <v>4600</v>
      </c>
      <c r="AL66" s="32">
        <v>8350</v>
      </c>
      <c r="AM66" s="32">
        <v>9350</v>
      </c>
      <c r="AN66" s="33" t="s">
        <v>221</v>
      </c>
      <c r="BJ66" s="91" t="s">
        <v>482</v>
      </c>
      <c r="BK66" s="92" t="s">
        <v>20</v>
      </c>
      <c r="BL66" s="93" t="s">
        <v>266</v>
      </c>
    </row>
    <row r="67" spans="15:64" x14ac:dyDescent="0.25">
      <c r="O67" s="57" t="s">
        <v>232</v>
      </c>
      <c r="P67" s="44" t="s">
        <v>74</v>
      </c>
      <c r="AD67" s="31" t="s">
        <v>233</v>
      </c>
      <c r="AE67" s="32">
        <v>4392</v>
      </c>
      <c r="AF67" s="32">
        <v>7288</v>
      </c>
      <c r="AG67" s="32">
        <v>10800</v>
      </c>
      <c r="AH67" s="33" t="s">
        <v>221</v>
      </c>
      <c r="AI67" s="34"/>
      <c r="AJ67" s="31" t="s">
        <v>233</v>
      </c>
      <c r="AK67" s="32">
        <v>4800</v>
      </c>
      <c r="AL67" s="32">
        <v>8550</v>
      </c>
      <c r="AM67" s="32">
        <v>9550</v>
      </c>
      <c r="AN67" s="33" t="s">
        <v>221</v>
      </c>
      <c r="BJ67" s="91" t="s">
        <v>838</v>
      </c>
      <c r="BK67" s="92" t="s">
        <v>20</v>
      </c>
      <c r="BL67" s="93" t="s">
        <v>266</v>
      </c>
    </row>
    <row r="68" spans="15:64" x14ac:dyDescent="0.25">
      <c r="O68" s="57" t="s">
        <v>234</v>
      </c>
      <c r="P68" s="44" t="s">
        <v>77</v>
      </c>
      <c r="AD68" s="31" t="s">
        <v>235</v>
      </c>
      <c r="AE68" s="32">
        <v>6392</v>
      </c>
      <c r="AF68" s="32">
        <v>10624</v>
      </c>
      <c r="AG68" s="32">
        <v>15704</v>
      </c>
      <c r="AH68" s="33">
        <v>34864</v>
      </c>
      <c r="AI68" s="34"/>
      <c r="AJ68" s="31" t="s">
        <v>235</v>
      </c>
      <c r="AK68" s="32">
        <v>4800</v>
      </c>
      <c r="AL68" s="32">
        <v>8550</v>
      </c>
      <c r="AM68" s="32">
        <v>9550</v>
      </c>
      <c r="AN68" s="33" t="s">
        <v>221</v>
      </c>
      <c r="BJ68" s="91" t="s">
        <v>796</v>
      </c>
      <c r="BK68" s="92" t="s">
        <v>21</v>
      </c>
      <c r="BL68" s="93" t="s">
        <v>267</v>
      </c>
    </row>
    <row r="69" spans="15:64" x14ac:dyDescent="0.25">
      <c r="O69" s="57" t="s">
        <v>236</v>
      </c>
      <c r="P69" s="44" t="s">
        <v>80</v>
      </c>
      <c r="AD69" s="31" t="s">
        <v>237</v>
      </c>
      <c r="AE69" s="32">
        <v>6432</v>
      </c>
      <c r="AF69" s="32">
        <v>10696</v>
      </c>
      <c r="AG69" s="32">
        <v>15784</v>
      </c>
      <c r="AH69" s="33">
        <v>35041</v>
      </c>
      <c r="AI69" s="34"/>
      <c r="AJ69" s="31" t="s">
        <v>237</v>
      </c>
      <c r="AK69" s="32">
        <v>4850</v>
      </c>
      <c r="AL69" s="32">
        <v>8600</v>
      </c>
      <c r="AM69" s="32">
        <v>9600</v>
      </c>
      <c r="AN69" s="33" t="s">
        <v>221</v>
      </c>
      <c r="BJ69" s="91" t="s">
        <v>556</v>
      </c>
      <c r="BK69" s="92" t="s">
        <v>20</v>
      </c>
      <c r="BL69" s="93" t="s">
        <v>264</v>
      </c>
    </row>
    <row r="70" spans="15:64" x14ac:dyDescent="0.25">
      <c r="O70" s="57" t="s">
        <v>238</v>
      </c>
      <c r="P70" s="44" t="s">
        <v>84</v>
      </c>
      <c r="AD70" s="31" t="s">
        <v>239</v>
      </c>
      <c r="AE70" s="32">
        <v>6432</v>
      </c>
      <c r="AF70" s="32">
        <v>10696</v>
      </c>
      <c r="AG70" s="32">
        <v>15784</v>
      </c>
      <c r="AH70" s="33">
        <v>35041</v>
      </c>
      <c r="AI70" s="34"/>
      <c r="AJ70" s="31" t="s">
        <v>239</v>
      </c>
      <c r="AK70" s="32">
        <v>4900</v>
      </c>
      <c r="AL70" s="32">
        <v>8650</v>
      </c>
      <c r="AM70" s="32">
        <v>9650</v>
      </c>
      <c r="AN70" s="33" t="s">
        <v>221</v>
      </c>
      <c r="BJ70" s="91" t="s">
        <v>498</v>
      </c>
      <c r="BK70" s="92" t="s">
        <v>21</v>
      </c>
      <c r="BL70" s="93" t="s">
        <v>265</v>
      </c>
    </row>
    <row r="71" spans="15:64" x14ac:dyDescent="0.25">
      <c r="O71" s="57" t="s">
        <v>240</v>
      </c>
      <c r="P71" s="44" t="s">
        <v>88</v>
      </c>
      <c r="AD71" s="31" t="s">
        <v>241</v>
      </c>
      <c r="AE71" s="32">
        <v>6528</v>
      </c>
      <c r="AF71" s="32">
        <v>10768</v>
      </c>
      <c r="AG71" s="32">
        <v>15864</v>
      </c>
      <c r="AH71" s="33">
        <v>35219</v>
      </c>
      <c r="AI71" s="34"/>
      <c r="AJ71" s="31" t="s">
        <v>241</v>
      </c>
      <c r="AK71" s="32">
        <v>4950</v>
      </c>
      <c r="AL71" s="32">
        <v>8700</v>
      </c>
      <c r="AM71" s="32">
        <v>9700</v>
      </c>
      <c r="AN71" s="33" t="s">
        <v>221</v>
      </c>
      <c r="BJ71" s="91" t="s">
        <v>867</v>
      </c>
      <c r="BK71" s="92" t="s">
        <v>21</v>
      </c>
      <c r="BL71" s="93" t="s">
        <v>265</v>
      </c>
    </row>
    <row r="72" spans="15:64" x14ac:dyDescent="0.25">
      <c r="O72" s="57" t="s">
        <v>242</v>
      </c>
      <c r="P72" s="44" t="s">
        <v>91</v>
      </c>
      <c r="AD72" s="31" t="s">
        <v>243</v>
      </c>
      <c r="AE72" s="32">
        <v>6568</v>
      </c>
      <c r="AF72" s="32">
        <v>10768</v>
      </c>
      <c r="AG72" s="32">
        <v>15864</v>
      </c>
      <c r="AH72" s="33">
        <v>35219</v>
      </c>
      <c r="AI72" s="34"/>
      <c r="AJ72" s="31" t="s">
        <v>243</v>
      </c>
      <c r="AK72" s="32">
        <v>5000</v>
      </c>
      <c r="AL72" s="32">
        <v>8750</v>
      </c>
      <c r="AM72" s="32">
        <v>9750</v>
      </c>
      <c r="AN72" s="33" t="s">
        <v>221</v>
      </c>
      <c r="BJ72" s="91" t="s">
        <v>638</v>
      </c>
      <c r="BK72" s="92" t="s">
        <v>21</v>
      </c>
      <c r="BL72" s="93" t="s">
        <v>265</v>
      </c>
    </row>
    <row r="73" spans="15:64" x14ac:dyDescent="0.25">
      <c r="O73" s="57" t="s">
        <v>244</v>
      </c>
      <c r="P73" s="44" t="s">
        <v>95</v>
      </c>
      <c r="AD73" s="31" t="s">
        <v>245</v>
      </c>
      <c r="AE73" s="32">
        <v>6568</v>
      </c>
      <c r="AF73" s="32">
        <v>10768</v>
      </c>
      <c r="AG73" s="32">
        <v>15864</v>
      </c>
      <c r="AH73" s="33">
        <v>35219</v>
      </c>
      <c r="AI73" s="34"/>
      <c r="AJ73" s="31" t="s">
        <v>245</v>
      </c>
      <c r="AK73" s="32">
        <v>5050</v>
      </c>
      <c r="AL73" s="32">
        <v>8800</v>
      </c>
      <c r="AM73" s="32">
        <v>9800</v>
      </c>
      <c r="AN73" s="33" t="s">
        <v>221</v>
      </c>
      <c r="BJ73" s="91" t="s">
        <v>784</v>
      </c>
      <c r="BK73" s="92" t="s">
        <v>20</v>
      </c>
      <c r="BL73" s="93" t="s">
        <v>265</v>
      </c>
    </row>
    <row r="74" spans="15:64" x14ac:dyDescent="0.25">
      <c r="O74" s="57" t="s">
        <v>246</v>
      </c>
      <c r="P74" s="44" t="s">
        <v>99</v>
      </c>
      <c r="AD74" s="31" t="s">
        <v>247</v>
      </c>
      <c r="AE74" s="32">
        <v>5720</v>
      </c>
      <c r="AF74" s="32">
        <v>9304</v>
      </c>
      <c r="AG74" s="32">
        <v>13664</v>
      </c>
      <c r="AH74" s="33" t="s">
        <v>221</v>
      </c>
      <c r="AI74" s="34"/>
      <c r="AJ74" s="31" t="s">
        <v>247</v>
      </c>
      <c r="AK74" s="32">
        <v>5250</v>
      </c>
      <c r="AL74" s="32">
        <v>9000</v>
      </c>
      <c r="AM74" s="32">
        <v>10000</v>
      </c>
      <c r="AN74" s="33" t="s">
        <v>221</v>
      </c>
      <c r="BJ74" s="91" t="s">
        <v>810</v>
      </c>
      <c r="BK74" s="92" t="s">
        <v>21</v>
      </c>
      <c r="BL74" s="93" t="s">
        <v>264</v>
      </c>
    </row>
    <row r="75" spans="15:64" ht="15.75" thickBot="1" x14ac:dyDescent="0.3">
      <c r="O75" s="62" t="s">
        <v>248</v>
      </c>
      <c r="P75" s="44" t="s">
        <v>103</v>
      </c>
      <c r="AD75" s="31" t="s">
        <v>249</v>
      </c>
      <c r="AE75" s="32">
        <v>6808</v>
      </c>
      <c r="AF75" s="32">
        <v>11320</v>
      </c>
      <c r="AG75" s="32">
        <v>17120</v>
      </c>
      <c r="AH75" s="33">
        <v>38007</v>
      </c>
      <c r="AI75" s="34"/>
      <c r="AJ75" s="31" t="s">
        <v>249</v>
      </c>
      <c r="AK75" s="32">
        <v>4800</v>
      </c>
      <c r="AL75" s="32">
        <v>9000</v>
      </c>
      <c r="AM75" s="32">
        <v>10000</v>
      </c>
      <c r="AN75" s="33" t="s">
        <v>221</v>
      </c>
      <c r="BJ75" s="91" t="s">
        <v>504</v>
      </c>
      <c r="BK75" s="92" t="s">
        <v>20</v>
      </c>
      <c r="BL75" s="93" t="s">
        <v>266</v>
      </c>
    </row>
    <row r="76" spans="15:64" x14ac:dyDescent="0.25">
      <c r="O76" s="63"/>
      <c r="P76" s="44" t="s">
        <v>107</v>
      </c>
      <c r="AD76" s="31" t="s">
        <v>250</v>
      </c>
      <c r="AE76" s="32">
        <v>6848</v>
      </c>
      <c r="AF76" s="32">
        <v>11392</v>
      </c>
      <c r="AG76" s="32">
        <v>17168</v>
      </c>
      <c r="AH76" s="33">
        <v>38114</v>
      </c>
      <c r="AI76" s="34"/>
      <c r="AJ76" s="31" t="s">
        <v>250</v>
      </c>
      <c r="AK76" s="32">
        <v>4850</v>
      </c>
      <c r="AL76" s="32">
        <v>9050</v>
      </c>
      <c r="AM76" s="32">
        <v>10050</v>
      </c>
      <c r="AN76" s="33" t="s">
        <v>221</v>
      </c>
      <c r="BJ76" s="91" t="s">
        <v>690</v>
      </c>
      <c r="BK76" s="92" t="s">
        <v>21</v>
      </c>
      <c r="BL76" s="93" t="s">
        <v>264</v>
      </c>
    </row>
    <row r="77" spans="15:64" x14ac:dyDescent="0.25">
      <c r="O77" s="63"/>
      <c r="P77" s="44" t="s">
        <v>112</v>
      </c>
      <c r="AD77" s="31" t="s">
        <v>251</v>
      </c>
      <c r="AE77" s="32">
        <v>7092</v>
      </c>
      <c r="AF77" s="32">
        <v>11392</v>
      </c>
      <c r="AG77" s="32">
        <v>17168</v>
      </c>
      <c r="AH77" s="33">
        <v>38114</v>
      </c>
      <c r="AI77" s="34"/>
      <c r="AJ77" s="31" t="s">
        <v>251</v>
      </c>
      <c r="AK77" s="32">
        <v>4900</v>
      </c>
      <c r="AL77" s="32">
        <v>9100</v>
      </c>
      <c r="AM77" s="32">
        <v>10100</v>
      </c>
      <c r="AN77" s="33" t="s">
        <v>221</v>
      </c>
      <c r="BJ77" s="91" t="s">
        <v>812</v>
      </c>
      <c r="BK77" s="92" t="s">
        <v>20</v>
      </c>
      <c r="BL77" s="93" t="s">
        <v>266</v>
      </c>
    </row>
    <row r="78" spans="15:64" x14ac:dyDescent="0.25">
      <c r="O78" s="63"/>
      <c r="P78" s="44" t="s">
        <v>117</v>
      </c>
      <c r="AD78" s="31" t="s">
        <v>252</v>
      </c>
      <c r="AE78" s="32">
        <v>6944</v>
      </c>
      <c r="AF78" s="32">
        <v>11556</v>
      </c>
      <c r="AG78" s="32">
        <v>17264</v>
      </c>
      <c r="AH78" s="33">
        <v>38327</v>
      </c>
      <c r="AI78" s="34"/>
      <c r="AJ78" s="31" t="s">
        <v>252</v>
      </c>
      <c r="AK78" s="32">
        <v>4950</v>
      </c>
      <c r="AL78" s="32">
        <v>9150</v>
      </c>
      <c r="AM78" s="32">
        <v>10150</v>
      </c>
      <c r="AN78" s="33" t="s">
        <v>221</v>
      </c>
      <c r="BJ78" s="91" t="s">
        <v>730</v>
      </c>
      <c r="BK78" s="92" t="s">
        <v>263</v>
      </c>
      <c r="BL78" s="93" t="s">
        <v>267</v>
      </c>
    </row>
    <row r="79" spans="15:64" x14ac:dyDescent="0.25">
      <c r="O79" s="63"/>
      <c r="P79" s="44" t="s">
        <v>122</v>
      </c>
      <c r="AD79" s="31" t="s">
        <v>253</v>
      </c>
      <c r="AE79" s="32">
        <v>6984</v>
      </c>
      <c r="AF79" s="32">
        <v>11628</v>
      </c>
      <c r="AG79" s="32">
        <v>17304</v>
      </c>
      <c r="AH79" s="33">
        <v>38416</v>
      </c>
      <c r="AI79" s="34"/>
      <c r="AJ79" s="31" t="s">
        <v>253</v>
      </c>
      <c r="AK79" s="32">
        <v>5000</v>
      </c>
      <c r="AL79" s="32">
        <v>9200</v>
      </c>
      <c r="AM79" s="32">
        <v>10200</v>
      </c>
      <c r="AN79" s="33" t="s">
        <v>221</v>
      </c>
      <c r="BJ79" s="91" t="s">
        <v>875</v>
      </c>
      <c r="BK79" s="92" t="s">
        <v>21</v>
      </c>
      <c r="BL79" s="93" t="s">
        <v>265</v>
      </c>
    </row>
    <row r="80" spans="15:64" x14ac:dyDescent="0.25">
      <c r="O80" s="63"/>
      <c r="P80" s="44" t="s">
        <v>125</v>
      </c>
      <c r="AD80" s="31" t="s">
        <v>254</v>
      </c>
      <c r="AE80" s="32">
        <v>7024</v>
      </c>
      <c r="AF80" s="32">
        <v>11700</v>
      </c>
      <c r="AG80" s="32">
        <v>17344</v>
      </c>
      <c r="AH80" s="33">
        <v>38505</v>
      </c>
      <c r="AI80" s="34"/>
      <c r="AJ80" s="31" t="s">
        <v>254</v>
      </c>
      <c r="AK80" s="32">
        <v>5050</v>
      </c>
      <c r="AL80" s="32">
        <v>9250</v>
      </c>
      <c r="AM80" s="32">
        <v>10250</v>
      </c>
      <c r="AN80" s="33" t="s">
        <v>221</v>
      </c>
      <c r="BJ80" s="91" t="s">
        <v>841</v>
      </c>
      <c r="BK80" s="92" t="s">
        <v>16</v>
      </c>
      <c r="BL80" s="93" t="s">
        <v>265</v>
      </c>
    </row>
    <row r="81" spans="1:64" x14ac:dyDescent="0.25">
      <c r="O81" s="63"/>
      <c r="P81" s="44" t="s">
        <v>129</v>
      </c>
      <c r="AD81" s="31" t="s">
        <v>255</v>
      </c>
      <c r="AE81" s="32">
        <v>6072</v>
      </c>
      <c r="AF81" s="32">
        <v>10074</v>
      </c>
      <c r="AG81" s="32">
        <v>14520</v>
      </c>
      <c r="AH81" s="33" t="s">
        <v>221</v>
      </c>
      <c r="AI81" s="34"/>
      <c r="AJ81" s="31" t="s">
        <v>255</v>
      </c>
      <c r="AK81" s="32">
        <v>5250</v>
      </c>
      <c r="AL81" s="32">
        <v>9450</v>
      </c>
      <c r="AM81" s="32">
        <v>10450</v>
      </c>
      <c r="AN81" s="33" t="s">
        <v>221</v>
      </c>
      <c r="BJ81" s="91" t="s">
        <v>579</v>
      </c>
      <c r="BK81" s="92" t="s">
        <v>16</v>
      </c>
      <c r="BL81" s="93" t="s">
        <v>266</v>
      </c>
    </row>
    <row r="82" spans="1:64" x14ac:dyDescent="0.25">
      <c r="O82" s="63"/>
      <c r="P82" s="44" t="s">
        <v>133</v>
      </c>
      <c r="AD82" s="31" t="s">
        <v>256</v>
      </c>
      <c r="AE82" s="32">
        <v>7080</v>
      </c>
      <c r="AF82" s="32">
        <v>11800</v>
      </c>
      <c r="AG82" s="32">
        <v>17168</v>
      </c>
      <c r="AH82" s="33">
        <v>38114</v>
      </c>
      <c r="AI82" s="34"/>
      <c r="AJ82" s="31" t="s">
        <v>256</v>
      </c>
      <c r="AK82" s="32">
        <v>5700</v>
      </c>
      <c r="AL82" s="32">
        <v>9450</v>
      </c>
      <c r="AM82" s="32">
        <v>10450</v>
      </c>
      <c r="AN82" s="33" t="s">
        <v>221</v>
      </c>
      <c r="BJ82" s="91" t="s">
        <v>817</v>
      </c>
      <c r="BK82" s="92" t="s">
        <v>16</v>
      </c>
      <c r="BL82" s="93" t="s">
        <v>266</v>
      </c>
    </row>
    <row r="83" spans="1:64" x14ac:dyDescent="0.25">
      <c r="O83" s="63"/>
      <c r="P83" s="44" t="s">
        <v>137</v>
      </c>
      <c r="AD83" s="31" t="s">
        <v>257</v>
      </c>
      <c r="AE83" s="32">
        <v>7128</v>
      </c>
      <c r="AF83" s="32">
        <v>11800</v>
      </c>
      <c r="AG83" s="32">
        <v>17168</v>
      </c>
      <c r="AH83" s="33">
        <v>38114</v>
      </c>
      <c r="AI83" s="34"/>
      <c r="AJ83" s="31" t="s">
        <v>257</v>
      </c>
      <c r="AK83" s="32">
        <v>5750</v>
      </c>
      <c r="AL83" s="32">
        <v>9500</v>
      </c>
      <c r="AM83" s="32">
        <v>10500</v>
      </c>
      <c r="AN83" s="33" t="s">
        <v>221</v>
      </c>
      <c r="BJ83" s="91" t="s">
        <v>789</v>
      </c>
      <c r="BK83" s="92" t="s">
        <v>420</v>
      </c>
      <c r="BL83" s="93" t="s">
        <v>264</v>
      </c>
    </row>
    <row r="84" spans="1:64" x14ac:dyDescent="0.25">
      <c r="O84" s="63"/>
      <c r="P84" s="44" t="s">
        <v>140</v>
      </c>
      <c r="AD84" s="31" t="s">
        <v>258</v>
      </c>
      <c r="AE84" s="32">
        <v>7128</v>
      </c>
      <c r="AF84" s="32">
        <v>11800</v>
      </c>
      <c r="AG84" s="32">
        <v>17304</v>
      </c>
      <c r="AH84" s="33">
        <v>38416</v>
      </c>
      <c r="AI84" s="34"/>
      <c r="AJ84" s="31" t="s">
        <v>258</v>
      </c>
      <c r="AK84" s="32">
        <v>5800</v>
      </c>
      <c r="AL84" s="32">
        <v>9550</v>
      </c>
      <c r="AM84" s="32">
        <v>10550</v>
      </c>
      <c r="AN84" s="33">
        <v>18741</v>
      </c>
      <c r="BJ84" s="91" t="s">
        <v>526</v>
      </c>
      <c r="BK84" s="92" t="s">
        <v>21</v>
      </c>
      <c r="BL84" s="93" t="s">
        <v>267</v>
      </c>
    </row>
    <row r="85" spans="1:64" x14ac:dyDescent="0.25">
      <c r="O85" s="63"/>
      <c r="P85" s="44" t="s">
        <v>143</v>
      </c>
      <c r="AD85" s="31" t="s">
        <v>259</v>
      </c>
      <c r="AE85" s="32">
        <v>7240</v>
      </c>
      <c r="AF85" s="32">
        <v>11800</v>
      </c>
      <c r="AG85" s="32">
        <v>17432</v>
      </c>
      <c r="AH85" s="33">
        <v>38700</v>
      </c>
      <c r="AI85" s="34"/>
      <c r="AJ85" s="31" t="s">
        <v>259</v>
      </c>
      <c r="AK85" s="32">
        <v>5850</v>
      </c>
      <c r="AL85" s="32">
        <v>9600</v>
      </c>
      <c r="AM85" s="32">
        <v>10600</v>
      </c>
      <c r="AN85" s="33" t="s">
        <v>221</v>
      </c>
      <c r="BJ85" s="91" t="s">
        <v>520</v>
      </c>
      <c r="BK85" s="92" t="s">
        <v>16</v>
      </c>
      <c r="BL85" s="93" t="s">
        <v>265</v>
      </c>
    </row>
    <row r="86" spans="1:64" x14ac:dyDescent="0.25">
      <c r="O86" s="63"/>
      <c r="P86" s="44" t="s">
        <v>146</v>
      </c>
      <c r="AD86" s="31" t="s">
        <v>260</v>
      </c>
      <c r="AE86" s="32">
        <v>7288</v>
      </c>
      <c r="AF86" s="32">
        <v>11800</v>
      </c>
      <c r="AG86" s="32">
        <v>17560</v>
      </c>
      <c r="AH86" s="33">
        <v>38984</v>
      </c>
      <c r="AI86" s="34"/>
      <c r="AJ86" s="31" t="s">
        <v>260</v>
      </c>
      <c r="AK86" s="32">
        <v>5900</v>
      </c>
      <c r="AL86" s="32">
        <v>9650</v>
      </c>
      <c r="AM86" s="32">
        <v>10650</v>
      </c>
      <c r="AN86" s="33" t="s">
        <v>221</v>
      </c>
      <c r="BJ86" s="91" t="s">
        <v>655</v>
      </c>
      <c r="BK86" s="92" t="s">
        <v>21</v>
      </c>
      <c r="BL86" s="93" t="s">
        <v>264</v>
      </c>
    </row>
    <row r="87" spans="1:64" x14ac:dyDescent="0.25">
      <c r="A87"/>
      <c r="O87" s="63"/>
      <c r="P87" s="44" t="s">
        <v>149</v>
      </c>
      <c r="AD87" s="31" t="s">
        <v>261</v>
      </c>
      <c r="AE87" s="32">
        <v>7336</v>
      </c>
      <c r="AF87" s="32">
        <v>11800</v>
      </c>
      <c r="AG87" s="32">
        <v>17600</v>
      </c>
      <c r="AH87" s="33">
        <v>39072</v>
      </c>
      <c r="AI87" s="34"/>
      <c r="AJ87" s="31" t="s">
        <v>261</v>
      </c>
      <c r="AK87" s="32">
        <v>5950</v>
      </c>
      <c r="AL87" s="32">
        <v>9700</v>
      </c>
      <c r="AM87" s="32">
        <v>10700</v>
      </c>
      <c r="AN87" s="33">
        <v>19031</v>
      </c>
      <c r="BJ87" s="91" t="s">
        <v>899</v>
      </c>
      <c r="BK87" s="92" t="s">
        <v>21</v>
      </c>
      <c r="BL87" s="93" t="s">
        <v>264</v>
      </c>
    </row>
    <row r="88" spans="1:64" ht="15.75" thickBot="1" x14ac:dyDescent="0.3">
      <c r="A88"/>
      <c r="O88" s="63"/>
      <c r="P88" s="44" t="s">
        <v>152</v>
      </c>
      <c r="AD88" s="64" t="s">
        <v>262</v>
      </c>
      <c r="AE88" s="65">
        <v>5190</v>
      </c>
      <c r="AF88" s="65">
        <v>8260</v>
      </c>
      <c r="AG88" s="65">
        <v>12240</v>
      </c>
      <c r="AH88" s="66" t="s">
        <v>221</v>
      </c>
      <c r="AI88" s="34"/>
      <c r="AJ88" s="64" t="s">
        <v>262</v>
      </c>
      <c r="AK88" s="65">
        <v>6150</v>
      </c>
      <c r="AL88" s="65">
        <v>9900</v>
      </c>
      <c r="AM88" s="65">
        <v>10900</v>
      </c>
      <c r="AN88" s="67" t="s">
        <v>221</v>
      </c>
      <c r="BJ88" s="91" t="s">
        <v>656</v>
      </c>
      <c r="BK88" s="92" t="s">
        <v>263</v>
      </c>
      <c r="BL88" s="93" t="s">
        <v>265</v>
      </c>
    </row>
    <row r="89" spans="1:64" x14ac:dyDescent="0.25">
      <c r="A89"/>
      <c r="O89" s="63"/>
      <c r="P89" s="44" t="s">
        <v>155</v>
      </c>
      <c r="BJ89" s="91" t="s">
        <v>598</v>
      </c>
      <c r="BK89" s="92" t="s">
        <v>21</v>
      </c>
      <c r="BL89" s="93" t="s">
        <v>266</v>
      </c>
    </row>
    <row r="90" spans="1:64" x14ac:dyDescent="0.25">
      <c r="A90"/>
      <c r="O90" s="63"/>
      <c r="P90" s="44" t="s">
        <v>158</v>
      </c>
      <c r="BJ90" s="91" t="s">
        <v>602</v>
      </c>
      <c r="BK90" s="92" t="s">
        <v>20</v>
      </c>
      <c r="BL90" s="93" t="s">
        <v>267</v>
      </c>
    </row>
    <row r="91" spans="1:64" x14ac:dyDescent="0.25">
      <c r="A91"/>
      <c r="O91" s="63"/>
      <c r="P91" s="44" t="s">
        <v>161</v>
      </c>
      <c r="BJ91" s="91" t="s">
        <v>523</v>
      </c>
      <c r="BK91" s="92" t="s">
        <v>263</v>
      </c>
      <c r="BL91" s="93" t="s">
        <v>264</v>
      </c>
    </row>
    <row r="92" spans="1:64" x14ac:dyDescent="0.25">
      <c r="A92"/>
      <c r="O92" s="63"/>
      <c r="P92" s="44" t="s">
        <v>164</v>
      </c>
      <c r="BJ92" s="91" t="s">
        <v>670</v>
      </c>
      <c r="BK92" s="92" t="s">
        <v>263</v>
      </c>
      <c r="BL92" s="93" t="s">
        <v>265</v>
      </c>
    </row>
    <row r="93" spans="1:64" x14ac:dyDescent="0.25">
      <c r="A93"/>
      <c r="O93" s="63"/>
      <c r="P93" s="44" t="s">
        <v>167</v>
      </c>
      <c r="BJ93" s="91" t="s">
        <v>694</v>
      </c>
      <c r="BK93" s="92" t="s">
        <v>263</v>
      </c>
      <c r="BL93" s="93" t="s">
        <v>266</v>
      </c>
    </row>
    <row r="94" spans="1:64" x14ac:dyDescent="0.25">
      <c r="A94"/>
      <c r="O94" s="63"/>
      <c r="P94" s="44" t="s">
        <v>171</v>
      </c>
      <c r="BJ94" s="91" t="s">
        <v>821</v>
      </c>
      <c r="BK94" s="92" t="s">
        <v>21</v>
      </c>
      <c r="BL94" s="93" t="s">
        <v>265</v>
      </c>
    </row>
    <row r="95" spans="1:64" ht="15.75" thickBot="1" x14ac:dyDescent="0.3">
      <c r="A95"/>
      <c r="O95" s="63"/>
      <c r="P95" s="68" t="s">
        <v>174</v>
      </c>
      <c r="BJ95" s="91" t="s">
        <v>630</v>
      </c>
      <c r="BK95" s="92" t="s">
        <v>21</v>
      </c>
      <c r="BL95" s="93" t="s">
        <v>264</v>
      </c>
    </row>
    <row r="96" spans="1:64" x14ac:dyDescent="0.25">
      <c r="A96"/>
      <c r="BJ96" s="91" t="s">
        <v>443</v>
      </c>
      <c r="BK96" s="92" t="s">
        <v>263</v>
      </c>
      <c r="BL96" s="93" t="s">
        <v>264</v>
      </c>
    </row>
    <row r="97" spans="1:64" x14ac:dyDescent="0.25">
      <c r="A97"/>
      <c r="BJ97" s="91" t="s">
        <v>693</v>
      </c>
      <c r="BK97" s="92" t="s">
        <v>263</v>
      </c>
      <c r="BL97" s="93" t="s">
        <v>265</v>
      </c>
    </row>
    <row r="98" spans="1:64" x14ac:dyDescent="0.25">
      <c r="A98"/>
      <c r="BJ98" s="91" t="s">
        <v>643</v>
      </c>
      <c r="BK98" s="92" t="s">
        <v>21</v>
      </c>
      <c r="BL98" s="93" t="s">
        <v>264</v>
      </c>
    </row>
    <row r="99" spans="1:64" x14ac:dyDescent="0.25">
      <c r="A99"/>
      <c r="BJ99" s="91" t="s">
        <v>781</v>
      </c>
      <c r="BK99" s="92" t="s">
        <v>16</v>
      </c>
      <c r="BL99" s="93" t="s">
        <v>265</v>
      </c>
    </row>
    <row r="100" spans="1:64" x14ac:dyDescent="0.25">
      <c r="A100"/>
      <c r="BJ100" s="91" t="s">
        <v>752</v>
      </c>
      <c r="BK100" s="92" t="s">
        <v>21</v>
      </c>
      <c r="BL100" s="93" t="s">
        <v>267</v>
      </c>
    </row>
    <row r="101" spans="1:64" x14ac:dyDescent="0.25">
      <c r="A101"/>
      <c r="BJ101" s="91" t="s">
        <v>578</v>
      </c>
      <c r="BK101" s="92" t="s">
        <v>20</v>
      </c>
      <c r="BL101" s="93" t="s">
        <v>265</v>
      </c>
    </row>
    <row r="102" spans="1:64" x14ac:dyDescent="0.25">
      <c r="A102"/>
      <c r="BJ102" s="91" t="s">
        <v>441</v>
      </c>
      <c r="BK102" s="92" t="s">
        <v>21</v>
      </c>
      <c r="BL102" s="93" t="s">
        <v>264</v>
      </c>
    </row>
    <row r="103" spans="1:64" x14ac:dyDescent="0.25">
      <c r="A103"/>
      <c r="BJ103" s="91" t="s">
        <v>815</v>
      </c>
      <c r="BK103" s="92" t="s">
        <v>16</v>
      </c>
      <c r="BL103" s="93" t="s">
        <v>264</v>
      </c>
    </row>
    <row r="104" spans="1:64" x14ac:dyDescent="0.25">
      <c r="A104"/>
      <c r="BJ104" s="91" t="s">
        <v>341</v>
      </c>
      <c r="BK104" s="92" t="s">
        <v>20</v>
      </c>
      <c r="BL104" s="93" t="s">
        <v>267</v>
      </c>
    </row>
    <row r="105" spans="1:64" x14ac:dyDescent="0.25">
      <c r="A105"/>
      <c r="BJ105" s="91" t="s">
        <v>554</v>
      </c>
      <c r="BK105" s="92" t="s">
        <v>263</v>
      </c>
      <c r="BL105" s="93" t="s">
        <v>265</v>
      </c>
    </row>
    <row r="106" spans="1:64" x14ac:dyDescent="0.25">
      <c r="A106"/>
      <c r="BJ106" s="91" t="s">
        <v>663</v>
      </c>
      <c r="BK106" s="92" t="s">
        <v>20</v>
      </c>
      <c r="BL106" s="93" t="s">
        <v>266</v>
      </c>
    </row>
    <row r="107" spans="1:64" x14ac:dyDescent="0.25">
      <c r="A107"/>
      <c r="BJ107" s="91" t="s">
        <v>723</v>
      </c>
      <c r="BK107" s="92" t="s">
        <v>21</v>
      </c>
      <c r="BL107" s="93" t="s">
        <v>267</v>
      </c>
    </row>
    <row r="108" spans="1:64" x14ac:dyDescent="0.25">
      <c r="A108"/>
      <c r="BJ108" s="91" t="s">
        <v>466</v>
      </c>
      <c r="BK108" s="92" t="s">
        <v>20</v>
      </c>
      <c r="BL108" s="93" t="s">
        <v>265</v>
      </c>
    </row>
    <row r="109" spans="1:64" x14ac:dyDescent="0.25">
      <c r="A109"/>
      <c r="BJ109" s="91" t="s">
        <v>720</v>
      </c>
      <c r="BK109" s="92" t="s">
        <v>20</v>
      </c>
      <c r="BL109" s="93" t="s">
        <v>264</v>
      </c>
    </row>
    <row r="110" spans="1:64" x14ac:dyDescent="0.25">
      <c r="A110"/>
      <c r="BJ110" s="91" t="s">
        <v>713</v>
      </c>
      <c r="BK110" s="92" t="s">
        <v>16</v>
      </c>
      <c r="BL110" s="93" t="s">
        <v>264</v>
      </c>
    </row>
    <row r="111" spans="1:64" x14ac:dyDescent="0.25">
      <c r="A111"/>
      <c r="BJ111" s="91" t="s">
        <v>831</v>
      </c>
      <c r="BK111" s="92" t="s">
        <v>21</v>
      </c>
      <c r="BL111" s="93" t="s">
        <v>266</v>
      </c>
    </row>
    <row r="112" spans="1:64" x14ac:dyDescent="0.25">
      <c r="A112"/>
      <c r="BJ112" s="91" t="s">
        <v>719</v>
      </c>
      <c r="BK112" s="92" t="s">
        <v>420</v>
      </c>
      <c r="BL112" s="93" t="s">
        <v>264</v>
      </c>
    </row>
    <row r="113" spans="1:64" x14ac:dyDescent="0.25">
      <c r="A113"/>
      <c r="BJ113" s="91" t="s">
        <v>593</v>
      </c>
      <c r="BK113" s="92" t="s">
        <v>20</v>
      </c>
      <c r="BL113" s="93" t="s">
        <v>265</v>
      </c>
    </row>
    <row r="114" spans="1:64" x14ac:dyDescent="0.25">
      <c r="A114"/>
      <c r="BJ114" s="91" t="s">
        <v>707</v>
      </c>
      <c r="BK114" s="92" t="s">
        <v>20</v>
      </c>
      <c r="BL114" s="93" t="s">
        <v>265</v>
      </c>
    </row>
    <row r="115" spans="1:64" x14ac:dyDescent="0.25">
      <c r="A115"/>
      <c r="BJ115" s="91" t="s">
        <v>703</v>
      </c>
      <c r="BK115" s="92" t="s">
        <v>16</v>
      </c>
      <c r="BL115" s="93" t="s">
        <v>265</v>
      </c>
    </row>
    <row r="116" spans="1:64" x14ac:dyDescent="0.25">
      <c r="A116"/>
      <c r="BJ116" s="91" t="s">
        <v>497</v>
      </c>
      <c r="BK116" s="92" t="s">
        <v>420</v>
      </c>
      <c r="BL116" s="93" t="s">
        <v>266</v>
      </c>
    </row>
    <row r="117" spans="1:64" x14ac:dyDescent="0.25">
      <c r="A117"/>
      <c r="BJ117" s="91" t="s">
        <v>461</v>
      </c>
      <c r="BK117" s="92" t="s">
        <v>21</v>
      </c>
      <c r="BL117" s="93" t="s">
        <v>267</v>
      </c>
    </row>
    <row r="118" spans="1:64" x14ac:dyDescent="0.25">
      <c r="A118"/>
      <c r="BJ118" s="91" t="s">
        <v>390</v>
      </c>
      <c r="BK118" s="92" t="s">
        <v>20</v>
      </c>
      <c r="BL118" s="93" t="s">
        <v>264</v>
      </c>
    </row>
    <row r="119" spans="1:64" x14ac:dyDescent="0.25">
      <c r="A119"/>
      <c r="BJ119" s="91" t="s">
        <v>818</v>
      </c>
      <c r="BK119" s="92" t="s">
        <v>16</v>
      </c>
      <c r="BL119" s="93" t="s">
        <v>266</v>
      </c>
    </row>
    <row r="120" spans="1:64" x14ac:dyDescent="0.25">
      <c r="A120"/>
      <c r="BJ120" s="91" t="s">
        <v>516</v>
      </c>
      <c r="BK120" s="92" t="s">
        <v>20</v>
      </c>
      <c r="BL120" s="93" t="s">
        <v>266</v>
      </c>
    </row>
    <row r="121" spans="1:64" x14ac:dyDescent="0.25">
      <c r="A121"/>
      <c r="BJ121" s="91" t="s">
        <v>479</v>
      </c>
      <c r="BK121" s="92" t="s">
        <v>20</v>
      </c>
      <c r="BL121" s="93" t="s">
        <v>264</v>
      </c>
    </row>
    <row r="122" spans="1:64" x14ac:dyDescent="0.25">
      <c r="A122"/>
      <c r="BJ122" s="91" t="s">
        <v>749</v>
      </c>
      <c r="BK122" s="92" t="s">
        <v>263</v>
      </c>
      <c r="BL122" s="93" t="s">
        <v>266</v>
      </c>
    </row>
    <row r="123" spans="1:64" x14ac:dyDescent="0.25">
      <c r="A123"/>
      <c r="BJ123" s="91" t="s">
        <v>887</v>
      </c>
      <c r="BK123" s="92" t="s">
        <v>20</v>
      </c>
      <c r="BL123" s="93" t="s">
        <v>265</v>
      </c>
    </row>
    <row r="124" spans="1:64" x14ac:dyDescent="0.25">
      <c r="A124"/>
      <c r="BJ124" s="91" t="s">
        <v>474</v>
      </c>
      <c r="BK124" s="92" t="s">
        <v>20</v>
      </c>
      <c r="BL124" s="93" t="s">
        <v>267</v>
      </c>
    </row>
    <row r="125" spans="1:64" x14ac:dyDescent="0.25">
      <c r="A125"/>
      <c r="BJ125" s="91" t="s">
        <v>450</v>
      </c>
      <c r="BK125" s="92" t="s">
        <v>21</v>
      </c>
      <c r="BL125" s="93" t="s">
        <v>264</v>
      </c>
    </row>
    <row r="126" spans="1:64" x14ac:dyDescent="0.25">
      <c r="A126"/>
      <c r="BJ126" s="91" t="s">
        <v>440</v>
      </c>
      <c r="BK126" s="92" t="s">
        <v>20</v>
      </c>
      <c r="BL126" s="93" t="s">
        <v>265</v>
      </c>
    </row>
    <row r="127" spans="1:64" x14ac:dyDescent="0.25">
      <c r="A127"/>
      <c r="BJ127" s="91" t="s">
        <v>495</v>
      </c>
      <c r="BK127" s="92" t="s">
        <v>420</v>
      </c>
      <c r="BL127" s="93" t="s">
        <v>266</v>
      </c>
    </row>
    <row r="128" spans="1:64" x14ac:dyDescent="0.25">
      <c r="A128"/>
      <c r="BJ128" s="91" t="s">
        <v>402</v>
      </c>
      <c r="BK128" s="92" t="s">
        <v>20</v>
      </c>
      <c r="BL128" s="93" t="s">
        <v>264</v>
      </c>
    </row>
    <row r="129" spans="1:64" x14ac:dyDescent="0.25">
      <c r="A129"/>
      <c r="BJ129" s="91" t="s">
        <v>484</v>
      </c>
      <c r="BK129" s="92" t="s">
        <v>16</v>
      </c>
      <c r="BL129" s="93" t="s">
        <v>264</v>
      </c>
    </row>
    <row r="130" spans="1:64" x14ac:dyDescent="0.25">
      <c r="A130"/>
      <c r="BJ130" s="91" t="s">
        <v>805</v>
      </c>
      <c r="BK130" s="92" t="s">
        <v>16</v>
      </c>
      <c r="BL130" s="93" t="s">
        <v>266</v>
      </c>
    </row>
    <row r="131" spans="1:64" x14ac:dyDescent="0.25">
      <c r="A131"/>
      <c r="BJ131" s="91" t="s">
        <v>567</v>
      </c>
      <c r="BK131" s="92" t="s">
        <v>21</v>
      </c>
      <c r="BL131" s="93" t="s">
        <v>266</v>
      </c>
    </row>
    <row r="132" spans="1:64" x14ac:dyDescent="0.25">
      <c r="A132"/>
      <c r="BJ132" s="91" t="s">
        <v>458</v>
      </c>
      <c r="BK132" s="92" t="s">
        <v>21</v>
      </c>
      <c r="BL132" s="93" t="s">
        <v>266</v>
      </c>
    </row>
    <row r="133" spans="1:64" x14ac:dyDescent="0.25">
      <c r="A133"/>
      <c r="BJ133" s="91" t="s">
        <v>642</v>
      </c>
      <c r="BK133" s="92" t="s">
        <v>16</v>
      </c>
      <c r="BL133" s="93" t="s">
        <v>266</v>
      </c>
    </row>
    <row r="134" spans="1:64" x14ac:dyDescent="0.25">
      <c r="A134"/>
      <c r="BJ134" s="91" t="s">
        <v>865</v>
      </c>
      <c r="BK134" s="92" t="s">
        <v>263</v>
      </c>
      <c r="BL134" s="93" t="s">
        <v>265</v>
      </c>
    </row>
    <row r="135" spans="1:64" x14ac:dyDescent="0.25">
      <c r="A135"/>
      <c r="BJ135" s="91" t="s">
        <v>394</v>
      </c>
      <c r="BK135" s="92" t="s">
        <v>21</v>
      </c>
      <c r="BL135" s="93" t="s">
        <v>266</v>
      </c>
    </row>
    <row r="136" spans="1:64" x14ac:dyDescent="0.25">
      <c r="A136"/>
      <c r="BJ136" s="91" t="s">
        <v>467</v>
      </c>
      <c r="BK136" s="92" t="s">
        <v>20</v>
      </c>
      <c r="BL136" s="93" t="s">
        <v>264</v>
      </c>
    </row>
    <row r="137" spans="1:64" x14ac:dyDescent="0.25">
      <c r="A137"/>
      <c r="BJ137" s="91" t="s">
        <v>640</v>
      </c>
      <c r="BK137" s="92" t="s">
        <v>20</v>
      </c>
      <c r="BL137" s="93" t="s">
        <v>264</v>
      </c>
    </row>
    <row r="138" spans="1:64" x14ac:dyDescent="0.25">
      <c r="A138"/>
      <c r="BJ138" s="91" t="s">
        <v>424</v>
      </c>
      <c r="BK138" s="92" t="s">
        <v>420</v>
      </c>
      <c r="BL138" s="93" t="s">
        <v>265</v>
      </c>
    </row>
    <row r="139" spans="1:64" x14ac:dyDescent="0.25">
      <c r="A139"/>
      <c r="BJ139" s="91" t="s">
        <v>623</v>
      </c>
      <c r="BK139" s="92" t="s">
        <v>20</v>
      </c>
      <c r="BL139" s="93" t="s">
        <v>265</v>
      </c>
    </row>
    <row r="140" spans="1:64" x14ac:dyDescent="0.25">
      <c r="A140"/>
      <c r="BJ140" s="91" t="s">
        <v>695</v>
      </c>
      <c r="BK140" s="92" t="s">
        <v>420</v>
      </c>
      <c r="BL140" s="93" t="s">
        <v>265</v>
      </c>
    </row>
    <row r="141" spans="1:64" x14ac:dyDescent="0.25">
      <c r="A141"/>
      <c r="BJ141" s="91" t="s">
        <v>625</v>
      </c>
      <c r="BK141" s="92" t="s">
        <v>20</v>
      </c>
      <c r="BL141" s="93" t="s">
        <v>267</v>
      </c>
    </row>
    <row r="142" spans="1:64" x14ac:dyDescent="0.25">
      <c r="A142"/>
      <c r="BJ142" s="91" t="s">
        <v>710</v>
      </c>
      <c r="BK142" s="92" t="s">
        <v>21</v>
      </c>
      <c r="BL142" s="93" t="s">
        <v>267</v>
      </c>
    </row>
    <row r="143" spans="1:64" x14ac:dyDescent="0.25">
      <c r="A143"/>
      <c r="BJ143" s="91" t="s">
        <v>801</v>
      </c>
      <c r="BK143" s="92" t="s">
        <v>20</v>
      </c>
      <c r="BL143" s="93" t="s">
        <v>265</v>
      </c>
    </row>
    <row r="144" spans="1:64" x14ac:dyDescent="0.25">
      <c r="A144"/>
      <c r="BJ144" s="91" t="s">
        <v>782</v>
      </c>
      <c r="BK144" s="92" t="s">
        <v>263</v>
      </c>
      <c r="BL144" s="93" t="s">
        <v>264</v>
      </c>
    </row>
    <row r="145" spans="1:64" x14ac:dyDescent="0.25">
      <c r="A145"/>
      <c r="BJ145" s="91" t="s">
        <v>891</v>
      </c>
      <c r="BK145" s="92" t="s">
        <v>21</v>
      </c>
      <c r="BL145" s="93" t="s">
        <v>265</v>
      </c>
    </row>
    <row r="146" spans="1:64" x14ac:dyDescent="0.25">
      <c r="A146"/>
      <c r="BJ146" s="91" t="s">
        <v>401</v>
      </c>
      <c r="BK146" s="92" t="s">
        <v>263</v>
      </c>
      <c r="BL146" s="93" t="s">
        <v>267</v>
      </c>
    </row>
    <row r="147" spans="1:64" x14ac:dyDescent="0.25">
      <c r="A147"/>
      <c r="BJ147" s="91" t="s">
        <v>592</v>
      </c>
      <c r="BK147" s="92" t="s">
        <v>21</v>
      </c>
      <c r="BL147" s="93" t="s">
        <v>264</v>
      </c>
    </row>
    <row r="148" spans="1:64" x14ac:dyDescent="0.25">
      <c r="A148"/>
      <c r="BJ148" s="91" t="s">
        <v>590</v>
      </c>
      <c r="BK148" s="92" t="s">
        <v>420</v>
      </c>
      <c r="BL148" s="93" t="s">
        <v>265</v>
      </c>
    </row>
    <row r="149" spans="1:64" x14ac:dyDescent="0.25">
      <c r="A149"/>
      <c r="BJ149" s="91" t="s">
        <v>677</v>
      </c>
      <c r="BK149" s="92" t="s">
        <v>20</v>
      </c>
      <c r="BL149" s="93" t="s">
        <v>265</v>
      </c>
    </row>
    <row r="150" spans="1:64" x14ac:dyDescent="0.25">
      <c r="A150"/>
      <c r="BJ150" s="91" t="s">
        <v>387</v>
      </c>
      <c r="BK150" s="92" t="s">
        <v>263</v>
      </c>
      <c r="BL150" s="93" t="s">
        <v>264</v>
      </c>
    </row>
    <row r="151" spans="1:64" x14ac:dyDescent="0.25">
      <c r="A151"/>
      <c r="BJ151" s="91" t="s">
        <v>741</v>
      </c>
      <c r="BK151" s="92" t="s">
        <v>263</v>
      </c>
      <c r="BL151" s="93" t="s">
        <v>265</v>
      </c>
    </row>
    <row r="152" spans="1:64" x14ac:dyDescent="0.25">
      <c r="A152"/>
      <c r="BJ152" s="91" t="s">
        <v>745</v>
      </c>
      <c r="BK152" s="92" t="s">
        <v>263</v>
      </c>
      <c r="BL152" s="93" t="s">
        <v>264</v>
      </c>
    </row>
    <row r="153" spans="1:64" x14ac:dyDescent="0.25">
      <c r="A153"/>
      <c r="BJ153" s="91" t="s">
        <v>589</v>
      </c>
      <c r="BK153" s="92" t="s">
        <v>21</v>
      </c>
      <c r="BL153" s="93" t="s">
        <v>265</v>
      </c>
    </row>
    <row r="154" spans="1:64" x14ac:dyDescent="0.25">
      <c r="A154"/>
      <c r="BJ154" s="91" t="s">
        <v>811</v>
      </c>
      <c r="BK154" s="92" t="s">
        <v>263</v>
      </c>
      <c r="BL154" s="93" t="s">
        <v>267</v>
      </c>
    </row>
    <row r="155" spans="1:64" x14ac:dyDescent="0.25">
      <c r="A155"/>
      <c r="BJ155" s="91" t="s">
        <v>702</v>
      </c>
      <c r="BK155" s="92" t="s">
        <v>16</v>
      </c>
      <c r="BL155" s="93" t="s">
        <v>264</v>
      </c>
    </row>
    <row r="156" spans="1:64" x14ac:dyDescent="0.25">
      <c r="A156"/>
      <c r="BJ156" s="91" t="s">
        <v>519</v>
      </c>
      <c r="BK156" s="92" t="s">
        <v>263</v>
      </c>
      <c r="BL156" s="93" t="s">
        <v>266</v>
      </c>
    </row>
    <row r="157" spans="1:64" x14ac:dyDescent="0.25">
      <c r="A157"/>
      <c r="BJ157" s="91" t="s">
        <v>855</v>
      </c>
      <c r="BK157" s="92" t="s">
        <v>263</v>
      </c>
      <c r="BL157" s="93" t="s">
        <v>267</v>
      </c>
    </row>
    <row r="158" spans="1:64" x14ac:dyDescent="0.25">
      <c r="A158"/>
      <c r="BJ158" s="91" t="s">
        <v>893</v>
      </c>
      <c r="BK158" s="92" t="s">
        <v>20</v>
      </c>
      <c r="BL158" s="93" t="s">
        <v>264</v>
      </c>
    </row>
    <row r="159" spans="1:64" x14ac:dyDescent="0.25">
      <c r="A159"/>
      <c r="BJ159" s="91" t="s">
        <v>777</v>
      </c>
      <c r="BK159" s="92" t="s">
        <v>263</v>
      </c>
      <c r="BL159" s="93" t="s">
        <v>266</v>
      </c>
    </row>
    <row r="160" spans="1:64" x14ac:dyDescent="0.25">
      <c r="A160"/>
      <c r="BJ160" s="91" t="s">
        <v>881</v>
      </c>
      <c r="BK160" s="92" t="s">
        <v>21</v>
      </c>
      <c r="BL160" s="93" t="s">
        <v>267</v>
      </c>
    </row>
    <row r="161" spans="1:64" x14ac:dyDescent="0.25">
      <c r="A161"/>
      <c r="BJ161" s="91" t="s">
        <v>536</v>
      </c>
      <c r="BK161" s="92" t="s">
        <v>20</v>
      </c>
      <c r="BL161" s="93" t="s">
        <v>265</v>
      </c>
    </row>
    <row r="162" spans="1:64" x14ac:dyDescent="0.25">
      <c r="A162"/>
      <c r="BJ162" s="91" t="s">
        <v>485</v>
      </c>
      <c r="BK162" s="92" t="s">
        <v>16</v>
      </c>
      <c r="BL162" s="93" t="s">
        <v>265</v>
      </c>
    </row>
    <row r="163" spans="1:64" x14ac:dyDescent="0.25">
      <c r="A163"/>
      <c r="BJ163" s="91" t="s">
        <v>847</v>
      </c>
      <c r="BK163" s="92" t="s">
        <v>20</v>
      </c>
      <c r="BL163" s="93" t="s">
        <v>265</v>
      </c>
    </row>
    <row r="164" spans="1:64" x14ac:dyDescent="0.25">
      <c r="A164"/>
      <c r="BJ164" s="91" t="s">
        <v>755</v>
      </c>
      <c r="BK164" s="92" t="s">
        <v>263</v>
      </c>
      <c r="BL164" s="93" t="s">
        <v>265</v>
      </c>
    </row>
    <row r="165" spans="1:64" x14ac:dyDescent="0.25">
      <c r="A165"/>
      <c r="BJ165" s="91" t="s">
        <v>550</v>
      </c>
      <c r="BK165" s="92" t="s">
        <v>21</v>
      </c>
      <c r="BL165" s="93" t="s">
        <v>265</v>
      </c>
    </row>
    <row r="166" spans="1:64" x14ac:dyDescent="0.25">
      <c r="A166"/>
      <c r="BJ166" s="91" t="s">
        <v>652</v>
      </c>
      <c r="BK166" s="92" t="s">
        <v>263</v>
      </c>
      <c r="BL166" s="93" t="s">
        <v>265</v>
      </c>
    </row>
    <row r="167" spans="1:64" x14ac:dyDescent="0.25">
      <c r="A167"/>
      <c r="BJ167" s="91" t="s">
        <v>664</v>
      </c>
      <c r="BK167" s="92" t="s">
        <v>20</v>
      </c>
      <c r="BL167" s="93" t="s">
        <v>265</v>
      </c>
    </row>
    <row r="168" spans="1:64" x14ac:dyDescent="0.25">
      <c r="A168"/>
      <c r="BJ168" s="91" t="s">
        <v>609</v>
      </c>
      <c r="BK168" s="92" t="s">
        <v>21</v>
      </c>
      <c r="BL168" s="93" t="s">
        <v>264</v>
      </c>
    </row>
    <row r="169" spans="1:64" x14ac:dyDescent="0.25">
      <c r="A169"/>
      <c r="BJ169" s="91" t="s">
        <v>501</v>
      </c>
      <c r="BK169" s="92" t="s">
        <v>16</v>
      </c>
      <c r="BL169" s="93" t="s">
        <v>266</v>
      </c>
    </row>
    <row r="170" spans="1:64" x14ac:dyDescent="0.25">
      <c r="A170"/>
      <c r="BJ170" s="91" t="s">
        <v>644</v>
      </c>
      <c r="BK170" s="92" t="s">
        <v>21</v>
      </c>
      <c r="BL170" s="93" t="s">
        <v>267</v>
      </c>
    </row>
    <row r="171" spans="1:64" x14ac:dyDescent="0.25">
      <c r="A171"/>
      <c r="BJ171" s="91" t="s">
        <v>454</v>
      </c>
      <c r="BK171" s="92" t="s">
        <v>21</v>
      </c>
      <c r="BL171" s="93" t="s">
        <v>265</v>
      </c>
    </row>
    <row r="172" spans="1:64" x14ac:dyDescent="0.25">
      <c r="A172"/>
      <c r="BJ172" s="91" t="s">
        <v>563</v>
      </c>
      <c r="BK172" s="92" t="s">
        <v>20</v>
      </c>
      <c r="BL172" s="93" t="s">
        <v>266</v>
      </c>
    </row>
    <row r="173" spans="1:64" x14ac:dyDescent="0.25">
      <c r="A173"/>
      <c r="BJ173" s="91" t="s">
        <v>595</v>
      </c>
      <c r="BK173" s="92" t="s">
        <v>20</v>
      </c>
      <c r="BL173" s="93" t="s">
        <v>267</v>
      </c>
    </row>
    <row r="174" spans="1:64" x14ac:dyDescent="0.25">
      <c r="A174"/>
      <c r="BJ174" s="91" t="s">
        <v>879</v>
      </c>
      <c r="BK174" s="92" t="s">
        <v>263</v>
      </c>
      <c r="BL174" s="93" t="s">
        <v>266</v>
      </c>
    </row>
    <row r="175" spans="1:64" x14ac:dyDescent="0.25">
      <c r="A175"/>
      <c r="BJ175" s="91" t="s">
        <v>717</v>
      </c>
      <c r="BK175" s="92" t="s">
        <v>16</v>
      </c>
      <c r="BL175" s="93" t="s">
        <v>265</v>
      </c>
    </row>
    <row r="176" spans="1:64" x14ac:dyDescent="0.25">
      <c r="A176"/>
      <c r="BJ176" s="91" t="s">
        <v>397</v>
      </c>
      <c r="BK176" s="92" t="s">
        <v>263</v>
      </c>
      <c r="BL176" s="93" t="s">
        <v>266</v>
      </c>
    </row>
    <row r="177" spans="1:64" x14ac:dyDescent="0.25">
      <c r="A177"/>
      <c r="BJ177" s="91" t="s">
        <v>408</v>
      </c>
      <c r="BK177" s="92" t="s">
        <v>20</v>
      </c>
      <c r="BL177" s="93" t="s">
        <v>264</v>
      </c>
    </row>
    <row r="178" spans="1:64" x14ac:dyDescent="0.25">
      <c r="A178"/>
      <c r="BJ178" s="91" t="s">
        <v>369</v>
      </c>
      <c r="BK178" s="92" t="s">
        <v>21</v>
      </c>
      <c r="BL178" s="93" t="s">
        <v>264</v>
      </c>
    </row>
    <row r="179" spans="1:64" x14ac:dyDescent="0.25">
      <c r="A179"/>
      <c r="BJ179" s="91" t="s">
        <v>393</v>
      </c>
      <c r="BK179" s="92" t="s">
        <v>21</v>
      </c>
      <c r="BL179" s="93" t="s">
        <v>266</v>
      </c>
    </row>
    <row r="180" spans="1:64" x14ac:dyDescent="0.25">
      <c r="A180"/>
      <c r="BJ180" s="91" t="s">
        <v>621</v>
      </c>
      <c r="BK180" s="92" t="s">
        <v>21</v>
      </c>
      <c r="BL180" s="93" t="s">
        <v>266</v>
      </c>
    </row>
    <row r="181" spans="1:64" x14ac:dyDescent="0.25">
      <c r="A181"/>
      <c r="BJ181" s="91" t="s">
        <v>830</v>
      </c>
      <c r="BK181" s="92" t="s">
        <v>21</v>
      </c>
      <c r="BL181" s="93" t="s">
        <v>266</v>
      </c>
    </row>
    <row r="182" spans="1:64" x14ac:dyDescent="0.25">
      <c r="A182"/>
      <c r="BJ182" s="91" t="s">
        <v>425</v>
      </c>
      <c r="BK182" s="92" t="s">
        <v>20</v>
      </c>
      <c r="BL182" s="93" t="s">
        <v>266</v>
      </c>
    </row>
    <row r="183" spans="1:64" x14ac:dyDescent="0.25">
      <c r="A183"/>
      <c r="BJ183" s="91" t="s">
        <v>607</v>
      </c>
      <c r="BK183" s="92" t="s">
        <v>263</v>
      </c>
      <c r="BL183" s="93" t="s">
        <v>266</v>
      </c>
    </row>
    <row r="184" spans="1:64" x14ac:dyDescent="0.25">
      <c r="A184"/>
      <c r="BJ184" s="91" t="s">
        <v>597</v>
      </c>
      <c r="BK184" s="92" t="s">
        <v>21</v>
      </c>
      <c r="BL184" s="93" t="s">
        <v>266</v>
      </c>
    </row>
    <row r="185" spans="1:64" x14ac:dyDescent="0.25">
      <c r="A185"/>
      <c r="BJ185" s="91" t="s">
        <v>794</v>
      </c>
      <c r="BK185" s="92" t="s">
        <v>20</v>
      </c>
      <c r="BL185" s="93" t="s">
        <v>267</v>
      </c>
    </row>
    <row r="186" spans="1:64" x14ac:dyDescent="0.25">
      <c r="A186"/>
      <c r="BJ186" s="91" t="s">
        <v>704</v>
      </c>
      <c r="BK186" s="92" t="s">
        <v>20</v>
      </c>
      <c r="BL186" s="93" t="s">
        <v>267</v>
      </c>
    </row>
    <row r="187" spans="1:64" x14ac:dyDescent="0.25">
      <c r="A187"/>
      <c r="BJ187" s="91" t="s">
        <v>346</v>
      </c>
      <c r="BK187" s="92" t="s">
        <v>20</v>
      </c>
      <c r="BL187" s="93" t="s">
        <v>267</v>
      </c>
    </row>
    <row r="188" spans="1:64" x14ac:dyDescent="0.25">
      <c r="A188"/>
      <c r="BJ188" s="91" t="s">
        <v>469</v>
      </c>
      <c r="BK188" s="92" t="s">
        <v>20</v>
      </c>
      <c r="BL188" s="93" t="s">
        <v>267</v>
      </c>
    </row>
    <row r="189" spans="1:64" x14ac:dyDescent="0.25">
      <c r="A189"/>
      <c r="BJ189" s="91" t="s">
        <v>653</v>
      </c>
      <c r="BK189" s="92" t="s">
        <v>21</v>
      </c>
      <c r="BL189" s="93" t="s">
        <v>265</v>
      </c>
    </row>
    <row r="190" spans="1:64" x14ac:dyDescent="0.25">
      <c r="A190"/>
      <c r="BJ190" s="91" t="s">
        <v>353</v>
      </c>
      <c r="BK190" s="92" t="s">
        <v>21</v>
      </c>
      <c r="BL190" s="93" t="s">
        <v>267</v>
      </c>
    </row>
    <row r="191" spans="1:64" x14ac:dyDescent="0.25">
      <c r="A191"/>
      <c r="BJ191" s="91" t="s">
        <v>538</v>
      </c>
      <c r="BK191" s="92" t="s">
        <v>21</v>
      </c>
      <c r="BL191" s="93" t="s">
        <v>266</v>
      </c>
    </row>
    <row r="192" spans="1:64" x14ac:dyDescent="0.25">
      <c r="A192"/>
      <c r="BJ192" s="91" t="s">
        <v>742</v>
      </c>
      <c r="BK192" s="92" t="s">
        <v>21</v>
      </c>
      <c r="BL192" s="93" t="s">
        <v>264</v>
      </c>
    </row>
    <row r="193" spans="1:64" x14ac:dyDescent="0.25">
      <c r="A193"/>
      <c r="BJ193" s="91" t="s">
        <v>564</v>
      </c>
      <c r="BK193" s="92" t="s">
        <v>20</v>
      </c>
      <c r="BL193" s="93" t="s">
        <v>265</v>
      </c>
    </row>
    <row r="194" spans="1:64" x14ac:dyDescent="0.25">
      <c r="A194"/>
      <c r="BJ194" s="91" t="s">
        <v>444</v>
      </c>
      <c r="BK194" s="92" t="s">
        <v>20</v>
      </c>
      <c r="BL194" s="93" t="s">
        <v>267</v>
      </c>
    </row>
    <row r="195" spans="1:64" x14ac:dyDescent="0.25">
      <c r="A195"/>
      <c r="BJ195" s="91" t="s">
        <v>648</v>
      </c>
      <c r="BK195" s="92" t="s">
        <v>263</v>
      </c>
      <c r="BL195" s="93" t="s">
        <v>266</v>
      </c>
    </row>
    <row r="196" spans="1:64" x14ac:dyDescent="0.25">
      <c r="A196"/>
      <c r="BJ196" s="91" t="s">
        <v>577</v>
      </c>
      <c r="BK196" s="92" t="s">
        <v>263</v>
      </c>
      <c r="BL196" s="93" t="s">
        <v>266</v>
      </c>
    </row>
    <row r="197" spans="1:64" x14ac:dyDescent="0.25">
      <c r="A197"/>
      <c r="BJ197" s="91" t="s">
        <v>792</v>
      </c>
      <c r="BK197" s="92" t="s">
        <v>20</v>
      </c>
      <c r="BL197" s="93" t="s">
        <v>266</v>
      </c>
    </row>
    <row r="198" spans="1:64" x14ac:dyDescent="0.25">
      <c r="A198"/>
      <c r="BJ198" s="91" t="s">
        <v>551</v>
      </c>
      <c r="BK198" s="92" t="s">
        <v>20</v>
      </c>
      <c r="BL198" s="93" t="s">
        <v>266</v>
      </c>
    </row>
    <row r="199" spans="1:64" x14ac:dyDescent="0.25">
      <c r="A199"/>
      <c r="BJ199" s="91" t="s">
        <v>731</v>
      </c>
      <c r="BK199" s="92" t="s">
        <v>20</v>
      </c>
      <c r="BL199" s="93" t="s">
        <v>265</v>
      </c>
    </row>
    <row r="200" spans="1:64" x14ac:dyDescent="0.25">
      <c r="A200"/>
      <c r="BJ200" s="91" t="s">
        <v>351</v>
      </c>
      <c r="BK200" s="92" t="s">
        <v>20</v>
      </c>
      <c r="BL200" s="93" t="s">
        <v>267</v>
      </c>
    </row>
    <row r="201" spans="1:64" x14ac:dyDescent="0.25">
      <c r="A201"/>
      <c r="BJ201" s="91" t="s">
        <v>531</v>
      </c>
      <c r="BK201" s="92" t="s">
        <v>20</v>
      </c>
      <c r="BL201" s="93" t="s">
        <v>267</v>
      </c>
    </row>
    <row r="202" spans="1:64" x14ac:dyDescent="0.25">
      <c r="A202"/>
      <c r="BJ202" s="91" t="s">
        <v>486</v>
      </c>
      <c r="BK202" s="92" t="s">
        <v>21</v>
      </c>
      <c r="BL202" s="93" t="s">
        <v>266</v>
      </c>
    </row>
    <row r="203" spans="1:64" x14ac:dyDescent="0.25">
      <c r="A203"/>
      <c r="BJ203" s="91" t="s">
        <v>492</v>
      </c>
      <c r="BK203" s="92" t="s">
        <v>20</v>
      </c>
      <c r="BL203" s="93" t="s">
        <v>267</v>
      </c>
    </row>
    <row r="204" spans="1:64" x14ac:dyDescent="0.25">
      <c r="A204"/>
      <c r="BJ204" s="91" t="s">
        <v>507</v>
      </c>
      <c r="BK204" s="92" t="s">
        <v>21</v>
      </c>
      <c r="BL204" s="93" t="s">
        <v>264</v>
      </c>
    </row>
    <row r="205" spans="1:64" x14ac:dyDescent="0.25">
      <c r="A205"/>
      <c r="BJ205" s="91" t="s">
        <v>434</v>
      </c>
      <c r="BK205" s="92" t="s">
        <v>20</v>
      </c>
      <c r="BL205" s="93" t="s">
        <v>267</v>
      </c>
    </row>
    <row r="206" spans="1:64" x14ac:dyDescent="0.25">
      <c r="A206"/>
      <c r="BJ206" s="91" t="s">
        <v>718</v>
      </c>
      <c r="BK206" s="92" t="s">
        <v>20</v>
      </c>
      <c r="BL206" s="93" t="s">
        <v>266</v>
      </c>
    </row>
    <row r="207" spans="1:64" x14ac:dyDescent="0.25">
      <c r="A207"/>
      <c r="BJ207" s="91" t="s">
        <v>544</v>
      </c>
      <c r="BK207" s="92" t="s">
        <v>16</v>
      </c>
      <c r="BL207" s="93" t="s">
        <v>266</v>
      </c>
    </row>
    <row r="208" spans="1:64" x14ac:dyDescent="0.25">
      <c r="A208"/>
      <c r="BJ208" s="91" t="s">
        <v>700</v>
      </c>
      <c r="BK208" s="92" t="s">
        <v>16</v>
      </c>
      <c r="BL208" s="93" t="s">
        <v>264</v>
      </c>
    </row>
    <row r="209" spans="1:64" x14ac:dyDescent="0.25">
      <c r="A209"/>
      <c r="BJ209" s="91" t="s">
        <v>661</v>
      </c>
      <c r="BK209" s="92" t="s">
        <v>20</v>
      </c>
      <c r="BL209" s="93" t="s">
        <v>264</v>
      </c>
    </row>
    <row r="210" spans="1:64" x14ac:dyDescent="0.25">
      <c r="A210"/>
      <c r="BJ210" s="91" t="s">
        <v>527</v>
      </c>
      <c r="BK210" s="92" t="s">
        <v>21</v>
      </c>
      <c r="BL210" s="93" t="s">
        <v>267</v>
      </c>
    </row>
    <row r="211" spans="1:64" x14ac:dyDescent="0.25">
      <c r="A211"/>
      <c r="BJ211" s="91" t="s">
        <v>740</v>
      </c>
      <c r="BK211" s="92" t="s">
        <v>20</v>
      </c>
      <c r="BL211" s="93" t="s">
        <v>267</v>
      </c>
    </row>
    <row r="212" spans="1:64" x14ac:dyDescent="0.25">
      <c r="A212"/>
      <c r="BJ212" s="91" t="s">
        <v>585</v>
      </c>
      <c r="BK212" s="92" t="s">
        <v>16</v>
      </c>
      <c r="BL212" s="93" t="s">
        <v>264</v>
      </c>
    </row>
    <row r="213" spans="1:64" x14ac:dyDescent="0.25">
      <c r="A213"/>
      <c r="BJ213" s="91" t="s">
        <v>500</v>
      </c>
      <c r="BK213" s="92" t="s">
        <v>21</v>
      </c>
      <c r="BL213" s="93" t="s">
        <v>265</v>
      </c>
    </row>
    <row r="214" spans="1:64" x14ac:dyDescent="0.25">
      <c r="A214"/>
      <c r="BJ214" s="91" t="s">
        <v>356</v>
      </c>
      <c r="BK214" s="92" t="s">
        <v>20</v>
      </c>
      <c r="BL214" s="93" t="s">
        <v>267</v>
      </c>
    </row>
    <row r="215" spans="1:64" x14ac:dyDescent="0.25">
      <c r="A215"/>
      <c r="BJ215" s="91" t="s">
        <v>878</v>
      </c>
      <c r="BK215" s="92" t="s">
        <v>20</v>
      </c>
      <c r="BL215" s="93" t="s">
        <v>265</v>
      </c>
    </row>
    <row r="216" spans="1:64" x14ac:dyDescent="0.25">
      <c r="A216"/>
      <c r="BJ216" s="91" t="s">
        <v>505</v>
      </c>
      <c r="BK216" s="92" t="s">
        <v>21</v>
      </c>
      <c r="BL216" s="93" t="s">
        <v>264</v>
      </c>
    </row>
    <row r="217" spans="1:64" x14ac:dyDescent="0.25">
      <c r="A217"/>
      <c r="BJ217" s="91" t="s">
        <v>574</v>
      </c>
      <c r="BK217" s="92" t="s">
        <v>263</v>
      </c>
      <c r="BL217" s="93" t="s">
        <v>267</v>
      </c>
    </row>
    <row r="218" spans="1:64" x14ac:dyDescent="0.25">
      <c r="A218"/>
      <c r="BJ218" s="91" t="s">
        <v>804</v>
      </c>
      <c r="BK218" s="92" t="s">
        <v>20</v>
      </c>
      <c r="BL218" s="93" t="s">
        <v>266</v>
      </c>
    </row>
    <row r="219" spans="1:64" x14ac:dyDescent="0.25">
      <c r="A219"/>
      <c r="BJ219" s="91" t="s">
        <v>669</v>
      </c>
      <c r="BK219" s="92" t="s">
        <v>20</v>
      </c>
      <c r="BL219" s="93" t="s">
        <v>265</v>
      </c>
    </row>
    <row r="220" spans="1:64" x14ac:dyDescent="0.25">
      <c r="A220"/>
      <c r="BJ220" s="91" t="s">
        <v>483</v>
      </c>
      <c r="BK220" s="92" t="s">
        <v>263</v>
      </c>
      <c r="BL220" s="93" t="s">
        <v>267</v>
      </c>
    </row>
    <row r="221" spans="1:64" x14ac:dyDescent="0.25">
      <c r="A221"/>
      <c r="BJ221" s="91" t="s">
        <v>779</v>
      </c>
      <c r="BK221" s="92" t="s">
        <v>16</v>
      </c>
      <c r="BL221" s="93" t="s">
        <v>266</v>
      </c>
    </row>
    <row r="222" spans="1:64" x14ac:dyDescent="0.25">
      <c r="A222"/>
      <c r="BJ222" s="91" t="s">
        <v>429</v>
      </c>
      <c r="BK222" s="92" t="s">
        <v>21</v>
      </c>
      <c r="BL222" s="93" t="s">
        <v>264</v>
      </c>
    </row>
    <row r="223" spans="1:64" x14ac:dyDescent="0.25">
      <c r="A223"/>
      <c r="BJ223" s="91" t="s">
        <v>902</v>
      </c>
      <c r="BK223" s="92" t="s">
        <v>16</v>
      </c>
      <c r="BL223" s="93" t="s">
        <v>265</v>
      </c>
    </row>
    <row r="224" spans="1:64" x14ac:dyDescent="0.25">
      <c r="A224"/>
      <c r="BJ224" s="91" t="s">
        <v>629</v>
      </c>
      <c r="BK224" s="92" t="s">
        <v>263</v>
      </c>
      <c r="BL224" s="93" t="s">
        <v>264</v>
      </c>
    </row>
    <row r="225" spans="1:64" x14ac:dyDescent="0.25">
      <c r="A225"/>
      <c r="BJ225" s="91" t="s">
        <v>619</v>
      </c>
      <c r="BK225" s="92" t="s">
        <v>21</v>
      </c>
      <c r="BL225" s="93" t="s">
        <v>266</v>
      </c>
    </row>
    <row r="226" spans="1:64" x14ac:dyDescent="0.25">
      <c r="A226"/>
      <c r="BJ226" s="91" t="s">
        <v>788</v>
      </c>
      <c r="BK226" s="92" t="s">
        <v>263</v>
      </c>
      <c r="BL226" s="93" t="s">
        <v>267</v>
      </c>
    </row>
    <row r="227" spans="1:64" x14ac:dyDescent="0.25">
      <c r="A227"/>
      <c r="BJ227" s="91" t="s">
        <v>736</v>
      </c>
      <c r="BK227" s="92" t="s">
        <v>21</v>
      </c>
      <c r="BL227" s="93" t="s">
        <v>264</v>
      </c>
    </row>
    <row r="228" spans="1:64" x14ac:dyDescent="0.25">
      <c r="A228"/>
      <c r="BJ228" s="91" t="s">
        <v>620</v>
      </c>
      <c r="BK228" s="92" t="s">
        <v>21</v>
      </c>
      <c r="BL228" s="93" t="s">
        <v>265</v>
      </c>
    </row>
    <row r="229" spans="1:64" x14ac:dyDescent="0.25">
      <c r="A229"/>
      <c r="BJ229" s="91" t="s">
        <v>543</v>
      </c>
      <c r="BK229" s="92" t="s">
        <v>21</v>
      </c>
      <c r="BL229" s="93" t="s">
        <v>266</v>
      </c>
    </row>
    <row r="230" spans="1:64" x14ac:dyDescent="0.25">
      <c r="A230"/>
      <c r="BJ230" s="91" t="s">
        <v>890</v>
      </c>
      <c r="BK230" s="92" t="s">
        <v>20</v>
      </c>
      <c r="BL230" s="93" t="s">
        <v>266</v>
      </c>
    </row>
    <row r="231" spans="1:64" x14ac:dyDescent="0.25">
      <c r="A231"/>
      <c r="BJ231" s="91" t="s">
        <v>612</v>
      </c>
      <c r="BK231" s="92" t="s">
        <v>20</v>
      </c>
      <c r="BL231" s="93" t="s">
        <v>267</v>
      </c>
    </row>
    <row r="232" spans="1:64" x14ac:dyDescent="0.25">
      <c r="A232"/>
      <c r="BJ232" s="91" t="s">
        <v>837</v>
      </c>
      <c r="BK232" s="92" t="s">
        <v>21</v>
      </c>
      <c r="BL232" s="93" t="s">
        <v>264</v>
      </c>
    </row>
    <row r="233" spans="1:64" x14ac:dyDescent="0.25">
      <c r="A233"/>
      <c r="BJ233" s="91" t="s">
        <v>751</v>
      </c>
      <c r="BK233" s="92" t="s">
        <v>20</v>
      </c>
      <c r="BL233" s="93" t="s">
        <v>265</v>
      </c>
    </row>
    <row r="234" spans="1:64" x14ac:dyDescent="0.25">
      <c r="A234"/>
      <c r="BJ234" s="91" t="s">
        <v>665</v>
      </c>
      <c r="BK234" s="92" t="s">
        <v>20</v>
      </c>
      <c r="BL234" s="93" t="s">
        <v>267</v>
      </c>
    </row>
    <row r="235" spans="1:64" x14ac:dyDescent="0.25">
      <c r="A235"/>
      <c r="BJ235" s="91" t="s">
        <v>714</v>
      </c>
      <c r="BK235" s="92" t="s">
        <v>16</v>
      </c>
      <c r="BL235" s="93" t="s">
        <v>264</v>
      </c>
    </row>
    <row r="236" spans="1:64" x14ac:dyDescent="0.25">
      <c r="A236"/>
      <c r="BJ236" s="91" t="s">
        <v>850</v>
      </c>
      <c r="BK236" s="92" t="s">
        <v>20</v>
      </c>
      <c r="BL236" s="93" t="s">
        <v>264</v>
      </c>
    </row>
    <row r="237" spans="1:64" x14ac:dyDescent="0.25">
      <c r="A237"/>
      <c r="BJ237" s="91" t="s">
        <v>541</v>
      </c>
      <c r="BK237" s="92" t="s">
        <v>20</v>
      </c>
      <c r="BL237" s="93" t="s">
        <v>266</v>
      </c>
    </row>
    <row r="238" spans="1:64" x14ac:dyDescent="0.25">
      <c r="A238"/>
      <c r="BJ238" s="91" t="s">
        <v>464</v>
      </c>
      <c r="BK238" s="92" t="s">
        <v>20</v>
      </c>
      <c r="BL238" s="93" t="s">
        <v>267</v>
      </c>
    </row>
    <row r="239" spans="1:64" x14ac:dyDescent="0.25">
      <c r="A239"/>
      <c r="BJ239" s="91" t="s">
        <v>481</v>
      </c>
      <c r="BK239" s="92" t="s">
        <v>20</v>
      </c>
      <c r="BL239" s="93" t="s">
        <v>265</v>
      </c>
    </row>
    <row r="240" spans="1:64" x14ac:dyDescent="0.25">
      <c r="A240"/>
      <c r="BJ240" s="91" t="s">
        <v>820</v>
      </c>
      <c r="BK240" s="92" t="s">
        <v>20</v>
      </c>
      <c r="BL240" s="93" t="s">
        <v>264</v>
      </c>
    </row>
    <row r="241" spans="1:64" x14ac:dyDescent="0.25">
      <c r="A241"/>
      <c r="BJ241" s="91" t="s">
        <v>365</v>
      </c>
      <c r="BK241" s="92" t="s">
        <v>20</v>
      </c>
      <c r="BL241" s="93" t="s">
        <v>267</v>
      </c>
    </row>
    <row r="242" spans="1:64" x14ac:dyDescent="0.25">
      <c r="A242"/>
      <c r="BJ242" s="91" t="s">
        <v>338</v>
      </c>
      <c r="BK242" s="92" t="s">
        <v>20</v>
      </c>
      <c r="BL242" s="93" t="s">
        <v>267</v>
      </c>
    </row>
    <row r="243" spans="1:64" x14ac:dyDescent="0.25">
      <c r="A243"/>
      <c r="BJ243" s="91" t="s">
        <v>622</v>
      </c>
      <c r="BK243" s="92" t="s">
        <v>20</v>
      </c>
      <c r="BL243" s="93" t="s">
        <v>266</v>
      </c>
    </row>
    <row r="244" spans="1:64" x14ac:dyDescent="0.25">
      <c r="A244"/>
      <c r="BJ244" s="91" t="s">
        <v>335</v>
      </c>
      <c r="BK244" s="92" t="s">
        <v>20</v>
      </c>
      <c r="BL244" s="93" t="s">
        <v>267</v>
      </c>
    </row>
    <row r="245" spans="1:64" x14ac:dyDescent="0.25">
      <c r="A245"/>
      <c r="BJ245" s="91" t="s">
        <v>511</v>
      </c>
      <c r="BK245" s="92" t="s">
        <v>263</v>
      </c>
      <c r="BL245" s="93" t="s">
        <v>264</v>
      </c>
    </row>
    <row r="246" spans="1:64" x14ac:dyDescent="0.25">
      <c r="A246"/>
      <c r="BJ246" s="91" t="s">
        <v>610</v>
      </c>
      <c r="BK246" s="92" t="s">
        <v>263</v>
      </c>
      <c r="BL246" s="93" t="s">
        <v>267</v>
      </c>
    </row>
    <row r="247" spans="1:64" x14ac:dyDescent="0.25">
      <c r="A247"/>
      <c r="BJ247" s="91" t="s">
        <v>487</v>
      </c>
      <c r="BK247" s="92" t="s">
        <v>263</v>
      </c>
      <c r="BL247" s="93" t="s">
        <v>266</v>
      </c>
    </row>
    <row r="248" spans="1:64" x14ac:dyDescent="0.25">
      <c r="A248"/>
      <c r="BJ248" s="91" t="s">
        <v>586</v>
      </c>
      <c r="BK248" s="92" t="s">
        <v>263</v>
      </c>
      <c r="BL248" s="93" t="s">
        <v>267</v>
      </c>
    </row>
    <row r="249" spans="1:64" x14ac:dyDescent="0.25">
      <c r="A249"/>
      <c r="BJ249" s="91" t="s">
        <v>681</v>
      </c>
      <c r="BK249" s="92" t="s">
        <v>21</v>
      </c>
      <c r="BL249" s="93" t="s">
        <v>264</v>
      </c>
    </row>
    <row r="250" spans="1:64" x14ac:dyDescent="0.25">
      <c r="A250"/>
      <c r="BJ250" s="91" t="s">
        <v>456</v>
      </c>
      <c r="BK250" s="92" t="s">
        <v>21</v>
      </c>
      <c r="BL250" s="93" t="s">
        <v>265</v>
      </c>
    </row>
    <row r="251" spans="1:64" x14ac:dyDescent="0.25">
      <c r="A251"/>
      <c r="BJ251" s="91" t="s">
        <v>848</v>
      </c>
      <c r="BK251" s="92" t="s">
        <v>21</v>
      </c>
      <c r="BL251" s="93" t="s">
        <v>267</v>
      </c>
    </row>
    <row r="252" spans="1:64" x14ac:dyDescent="0.25">
      <c r="A252"/>
      <c r="BJ252" s="91" t="s">
        <v>370</v>
      </c>
      <c r="BK252" s="92" t="s">
        <v>21</v>
      </c>
      <c r="BL252" s="93" t="s">
        <v>265</v>
      </c>
    </row>
    <row r="253" spans="1:64" x14ac:dyDescent="0.25">
      <c r="A253"/>
      <c r="BJ253" s="91" t="s">
        <v>396</v>
      </c>
      <c r="BK253" s="92" t="s">
        <v>21</v>
      </c>
      <c r="BL253" s="93" t="s">
        <v>264</v>
      </c>
    </row>
    <row r="254" spans="1:64" x14ac:dyDescent="0.25">
      <c r="A254"/>
      <c r="BJ254" s="91" t="s">
        <v>562</v>
      </c>
      <c r="BK254" s="92" t="s">
        <v>21</v>
      </c>
      <c r="BL254" s="93" t="s">
        <v>266</v>
      </c>
    </row>
    <row r="255" spans="1:64" x14ac:dyDescent="0.25">
      <c r="A255"/>
      <c r="BJ255" s="91" t="s">
        <v>785</v>
      </c>
      <c r="BK255" s="92" t="s">
        <v>21</v>
      </c>
      <c r="BL255" s="93" t="s">
        <v>266</v>
      </c>
    </row>
    <row r="256" spans="1:64" x14ac:dyDescent="0.25">
      <c r="A256"/>
      <c r="BJ256" s="91" t="s">
        <v>716</v>
      </c>
      <c r="BK256" s="92" t="s">
        <v>21</v>
      </c>
      <c r="BL256" s="93" t="s">
        <v>266</v>
      </c>
    </row>
    <row r="257" spans="1:64" x14ac:dyDescent="0.25">
      <c r="A257"/>
      <c r="BJ257" s="91" t="s">
        <v>560</v>
      </c>
      <c r="BK257" s="92" t="s">
        <v>21</v>
      </c>
      <c r="BL257" s="93" t="s">
        <v>267</v>
      </c>
    </row>
    <row r="258" spans="1:64" x14ac:dyDescent="0.25">
      <c r="A258"/>
      <c r="BJ258" s="91" t="s">
        <v>836</v>
      </c>
      <c r="BK258" s="92" t="s">
        <v>21</v>
      </c>
      <c r="BL258" s="93" t="s">
        <v>264</v>
      </c>
    </row>
    <row r="259" spans="1:64" x14ac:dyDescent="0.25">
      <c r="A259"/>
      <c r="BJ259" s="91" t="s">
        <v>697</v>
      </c>
      <c r="BK259" s="92" t="s">
        <v>21</v>
      </c>
      <c r="BL259" s="93" t="s">
        <v>265</v>
      </c>
    </row>
    <row r="260" spans="1:64" x14ac:dyDescent="0.25">
      <c r="A260"/>
      <c r="BJ260" s="91" t="s">
        <v>410</v>
      </c>
      <c r="BK260" s="92" t="s">
        <v>16</v>
      </c>
      <c r="BL260" s="93" t="s">
        <v>266</v>
      </c>
    </row>
    <row r="261" spans="1:64" x14ac:dyDescent="0.25">
      <c r="A261"/>
      <c r="BJ261" s="91" t="s">
        <v>601</v>
      </c>
      <c r="BK261" s="92" t="s">
        <v>16</v>
      </c>
      <c r="BL261" s="93" t="s">
        <v>264</v>
      </c>
    </row>
    <row r="262" spans="1:64" x14ac:dyDescent="0.25">
      <c r="A262"/>
      <c r="BJ262" s="91" t="s">
        <v>849</v>
      </c>
      <c r="BK262" s="92" t="s">
        <v>16</v>
      </c>
      <c r="BL262" s="93" t="s">
        <v>264</v>
      </c>
    </row>
    <row r="263" spans="1:64" x14ac:dyDescent="0.25">
      <c r="A263"/>
      <c r="BJ263" s="91" t="s">
        <v>840</v>
      </c>
      <c r="BK263" s="92" t="s">
        <v>16</v>
      </c>
      <c r="BL263" s="93" t="s">
        <v>265</v>
      </c>
    </row>
    <row r="264" spans="1:64" x14ac:dyDescent="0.25">
      <c r="A264"/>
      <c r="BJ264" s="91" t="s">
        <v>844</v>
      </c>
      <c r="BK264" s="92" t="s">
        <v>20</v>
      </c>
      <c r="BL264" s="93" t="s">
        <v>266</v>
      </c>
    </row>
    <row r="265" spans="1:64" x14ac:dyDescent="0.25">
      <c r="A265"/>
      <c r="BJ265" s="91" t="s">
        <v>417</v>
      </c>
      <c r="BK265" s="92" t="s">
        <v>20</v>
      </c>
      <c r="BL265" s="93" t="s">
        <v>266</v>
      </c>
    </row>
    <row r="266" spans="1:64" x14ac:dyDescent="0.25">
      <c r="A266"/>
      <c r="BJ266" s="91" t="s">
        <v>391</v>
      </c>
      <c r="BK266" s="92" t="s">
        <v>20</v>
      </c>
      <c r="BL266" s="93" t="s">
        <v>266</v>
      </c>
    </row>
    <row r="267" spans="1:64" x14ac:dyDescent="0.25">
      <c r="A267"/>
      <c r="BJ267" s="91" t="s">
        <v>839</v>
      </c>
      <c r="BK267" s="92" t="s">
        <v>420</v>
      </c>
      <c r="BL267" s="93" t="s">
        <v>266</v>
      </c>
    </row>
    <row r="268" spans="1:64" x14ac:dyDescent="0.25">
      <c r="A268"/>
      <c r="BJ268" s="91" t="s">
        <v>834</v>
      </c>
      <c r="BK268" s="92" t="s">
        <v>20</v>
      </c>
      <c r="BL268" s="93" t="s">
        <v>266</v>
      </c>
    </row>
    <row r="269" spans="1:64" x14ac:dyDescent="0.25">
      <c r="A269"/>
      <c r="BJ269" s="91" t="s">
        <v>769</v>
      </c>
      <c r="BK269" s="92" t="s">
        <v>20</v>
      </c>
      <c r="BL269" s="93" t="s">
        <v>267</v>
      </c>
    </row>
    <row r="270" spans="1:64" x14ac:dyDescent="0.25">
      <c r="A270"/>
      <c r="BJ270" s="91" t="s">
        <v>599</v>
      </c>
      <c r="BK270" s="92" t="s">
        <v>20</v>
      </c>
      <c r="BL270" s="93" t="s">
        <v>266</v>
      </c>
    </row>
    <row r="271" spans="1:64" x14ac:dyDescent="0.25">
      <c r="A271"/>
      <c r="BJ271" s="91" t="s">
        <v>580</v>
      </c>
      <c r="BK271" s="92" t="s">
        <v>20</v>
      </c>
      <c r="BL271" s="93" t="s">
        <v>267</v>
      </c>
    </row>
    <row r="272" spans="1:64" x14ac:dyDescent="0.25">
      <c r="A272"/>
      <c r="BJ272" s="91" t="s">
        <v>828</v>
      </c>
      <c r="BK272" s="92" t="s">
        <v>21</v>
      </c>
      <c r="BL272" s="93" t="s">
        <v>266</v>
      </c>
    </row>
    <row r="273" spans="1:64" x14ac:dyDescent="0.25">
      <c r="A273"/>
      <c r="BJ273" s="91" t="s">
        <v>532</v>
      </c>
      <c r="BK273" s="92" t="s">
        <v>21</v>
      </c>
      <c r="BL273" s="93" t="s">
        <v>265</v>
      </c>
    </row>
    <row r="274" spans="1:64" x14ac:dyDescent="0.25">
      <c r="A274"/>
      <c r="BJ274" s="91" t="s">
        <v>624</v>
      </c>
      <c r="BK274" s="92" t="s">
        <v>21</v>
      </c>
      <c r="BL274" s="93" t="s">
        <v>266</v>
      </c>
    </row>
    <row r="275" spans="1:64" x14ac:dyDescent="0.25">
      <c r="A275"/>
      <c r="BJ275" s="91" t="s">
        <v>748</v>
      </c>
      <c r="BK275" s="92" t="s">
        <v>21</v>
      </c>
      <c r="BL275" s="93" t="s">
        <v>264</v>
      </c>
    </row>
    <row r="276" spans="1:64" x14ac:dyDescent="0.25">
      <c r="A276"/>
      <c r="BJ276" s="91" t="s">
        <v>525</v>
      </c>
      <c r="BK276" s="92" t="s">
        <v>20</v>
      </c>
      <c r="BL276" s="93" t="s">
        <v>266</v>
      </c>
    </row>
    <row r="277" spans="1:64" x14ac:dyDescent="0.25">
      <c r="A277"/>
      <c r="BJ277" s="91" t="s">
        <v>628</v>
      </c>
      <c r="BK277" s="92" t="s">
        <v>21</v>
      </c>
      <c r="BL277" s="93" t="s">
        <v>264</v>
      </c>
    </row>
    <row r="278" spans="1:64" x14ac:dyDescent="0.25">
      <c r="A278"/>
      <c r="BJ278" s="91" t="s">
        <v>416</v>
      </c>
      <c r="BK278" s="92" t="s">
        <v>21</v>
      </c>
      <c r="BL278" s="93" t="s">
        <v>266</v>
      </c>
    </row>
    <row r="279" spans="1:64" x14ac:dyDescent="0.25">
      <c r="A279"/>
      <c r="BJ279" s="91" t="s">
        <v>900</v>
      </c>
      <c r="BK279" s="92" t="s">
        <v>263</v>
      </c>
      <c r="BL279" s="93" t="s">
        <v>264</v>
      </c>
    </row>
    <row r="280" spans="1:64" x14ac:dyDescent="0.25">
      <c r="A280"/>
      <c r="BJ280" s="91" t="s">
        <v>433</v>
      </c>
      <c r="BK280" s="92" t="s">
        <v>263</v>
      </c>
      <c r="BL280" s="93" t="s">
        <v>267</v>
      </c>
    </row>
    <row r="281" spans="1:64" x14ac:dyDescent="0.25">
      <c r="A281"/>
      <c r="BJ281" s="91" t="s">
        <v>367</v>
      </c>
      <c r="BK281" s="92" t="s">
        <v>263</v>
      </c>
      <c r="BL281" s="93" t="s">
        <v>267</v>
      </c>
    </row>
    <row r="282" spans="1:64" x14ac:dyDescent="0.25">
      <c r="A282"/>
      <c r="BJ282" s="91" t="s">
        <v>490</v>
      </c>
      <c r="BK282" s="92" t="s">
        <v>263</v>
      </c>
      <c r="BL282" s="93" t="s">
        <v>265</v>
      </c>
    </row>
    <row r="283" spans="1:64" x14ac:dyDescent="0.25">
      <c r="A283"/>
      <c r="BJ283" s="91" t="s">
        <v>859</v>
      </c>
      <c r="BK283" s="92" t="s">
        <v>21</v>
      </c>
      <c r="BL283" s="93" t="s">
        <v>267</v>
      </c>
    </row>
    <row r="284" spans="1:64" x14ac:dyDescent="0.25">
      <c r="A284"/>
      <c r="BJ284" s="91" t="s">
        <v>857</v>
      </c>
      <c r="BK284" s="92" t="s">
        <v>263</v>
      </c>
      <c r="BL284" s="93" t="s">
        <v>266</v>
      </c>
    </row>
    <row r="285" spans="1:64" x14ac:dyDescent="0.25">
      <c r="A285"/>
      <c r="BJ285" s="91" t="s">
        <v>806</v>
      </c>
      <c r="BK285" s="92" t="s">
        <v>21</v>
      </c>
      <c r="BL285" s="93" t="s">
        <v>264</v>
      </c>
    </row>
    <row r="286" spans="1:64" x14ac:dyDescent="0.25">
      <c r="A286"/>
      <c r="BJ286" s="91" t="s">
        <v>364</v>
      </c>
      <c r="BK286" s="92" t="s">
        <v>20</v>
      </c>
      <c r="BL286" s="93" t="s">
        <v>267</v>
      </c>
    </row>
    <row r="287" spans="1:64" x14ac:dyDescent="0.25">
      <c r="A287"/>
      <c r="BJ287" s="91" t="s">
        <v>843</v>
      </c>
      <c r="BK287" s="92" t="s">
        <v>263</v>
      </c>
      <c r="BL287" s="93" t="s">
        <v>265</v>
      </c>
    </row>
    <row r="288" spans="1:64" x14ac:dyDescent="0.25">
      <c r="A288"/>
      <c r="BJ288" s="91" t="s">
        <v>407</v>
      </c>
      <c r="BK288" s="92" t="s">
        <v>263</v>
      </c>
      <c r="BL288" s="93" t="s">
        <v>267</v>
      </c>
    </row>
    <row r="289" spans="1:64" x14ac:dyDescent="0.25">
      <c r="A289"/>
      <c r="BJ289" s="91" t="s">
        <v>778</v>
      </c>
      <c r="BK289" s="92" t="s">
        <v>263</v>
      </c>
      <c r="BL289" s="93" t="s">
        <v>265</v>
      </c>
    </row>
    <row r="290" spans="1:64" x14ac:dyDescent="0.25">
      <c r="A290"/>
      <c r="BJ290" s="91" t="s">
        <v>822</v>
      </c>
      <c r="BK290" s="92" t="s">
        <v>20</v>
      </c>
      <c r="BL290" s="93" t="s">
        <v>267</v>
      </c>
    </row>
    <row r="291" spans="1:64" x14ac:dyDescent="0.25">
      <c r="A291"/>
      <c r="BJ291" s="91" t="s">
        <v>914</v>
      </c>
      <c r="BK291" s="92" t="s">
        <v>21</v>
      </c>
      <c r="BL291" s="93" t="s">
        <v>267</v>
      </c>
    </row>
    <row r="292" spans="1:64" x14ac:dyDescent="0.25">
      <c r="A292"/>
      <c r="BJ292" s="91" t="s">
        <v>405</v>
      </c>
      <c r="BK292" s="92" t="s">
        <v>20</v>
      </c>
      <c r="BL292" s="93" t="s">
        <v>266</v>
      </c>
    </row>
    <row r="293" spans="1:64" x14ac:dyDescent="0.25">
      <c r="A293"/>
      <c r="BJ293" s="91" t="s">
        <v>915</v>
      </c>
      <c r="BK293" s="92" t="s">
        <v>263</v>
      </c>
      <c r="BL293" s="93" t="s">
        <v>265</v>
      </c>
    </row>
    <row r="294" spans="1:64" x14ac:dyDescent="0.25">
      <c r="A294"/>
      <c r="BJ294" s="91" t="s">
        <v>428</v>
      </c>
      <c r="BK294" s="92" t="s">
        <v>263</v>
      </c>
      <c r="BL294" s="93" t="s">
        <v>264</v>
      </c>
    </row>
    <row r="295" spans="1:64" x14ac:dyDescent="0.25">
      <c r="A295"/>
      <c r="BJ295" s="91" t="s">
        <v>737</v>
      </c>
      <c r="BK295" s="92" t="s">
        <v>20</v>
      </c>
      <c r="BL295" s="93" t="s">
        <v>267</v>
      </c>
    </row>
    <row r="296" spans="1:64" x14ac:dyDescent="0.25">
      <c r="A296"/>
      <c r="BJ296" s="91" t="s">
        <v>399</v>
      </c>
      <c r="BK296" s="92" t="s">
        <v>20</v>
      </c>
      <c r="BL296" s="93" t="s">
        <v>267</v>
      </c>
    </row>
    <row r="297" spans="1:64" x14ac:dyDescent="0.25">
      <c r="A297"/>
      <c r="BJ297" s="91" t="s">
        <v>462</v>
      </c>
      <c r="BK297" s="92" t="s">
        <v>21</v>
      </c>
      <c r="BL297" s="93" t="s">
        <v>266</v>
      </c>
    </row>
    <row r="298" spans="1:64" x14ac:dyDescent="0.25">
      <c r="A298"/>
      <c r="BJ298" s="91" t="s">
        <v>499</v>
      </c>
      <c r="BK298" s="92" t="s">
        <v>21</v>
      </c>
      <c r="BL298" s="93" t="s">
        <v>264</v>
      </c>
    </row>
    <row r="299" spans="1:64" x14ac:dyDescent="0.25">
      <c r="A299"/>
      <c r="BJ299" s="91" t="s">
        <v>696</v>
      </c>
      <c r="BK299" s="92" t="s">
        <v>21</v>
      </c>
      <c r="BL299" s="93" t="s">
        <v>264</v>
      </c>
    </row>
    <row r="300" spans="1:64" x14ac:dyDescent="0.25">
      <c r="A300"/>
      <c r="BJ300" s="91" t="s">
        <v>637</v>
      </c>
      <c r="BK300" s="92" t="s">
        <v>263</v>
      </c>
      <c r="BL300" s="93" t="s">
        <v>267</v>
      </c>
    </row>
    <row r="301" spans="1:64" x14ac:dyDescent="0.25">
      <c r="A301"/>
      <c r="BJ301" s="91" t="s">
        <v>570</v>
      </c>
      <c r="BK301" s="92" t="s">
        <v>263</v>
      </c>
      <c r="BL301" s="93" t="s">
        <v>266</v>
      </c>
    </row>
    <row r="302" spans="1:64" x14ac:dyDescent="0.25">
      <c r="A302"/>
      <c r="BJ302" s="91" t="s">
        <v>659</v>
      </c>
      <c r="BK302" s="92" t="s">
        <v>21</v>
      </c>
      <c r="BL302" s="93" t="s">
        <v>264</v>
      </c>
    </row>
    <row r="303" spans="1:64" x14ac:dyDescent="0.25">
      <c r="A303"/>
      <c r="BJ303" s="91" t="s">
        <v>576</v>
      </c>
      <c r="BK303" s="92" t="s">
        <v>21</v>
      </c>
      <c r="BL303" s="93" t="s">
        <v>267</v>
      </c>
    </row>
    <row r="304" spans="1:64" x14ac:dyDescent="0.25">
      <c r="A304"/>
      <c r="BJ304" s="91" t="s">
        <v>729</v>
      </c>
      <c r="BK304" s="92" t="s">
        <v>20</v>
      </c>
      <c r="BL304" s="93" t="s">
        <v>267</v>
      </c>
    </row>
    <row r="305" spans="1:64" x14ac:dyDescent="0.25">
      <c r="A305"/>
      <c r="BJ305" s="91" t="s">
        <v>453</v>
      </c>
      <c r="BK305" s="92" t="s">
        <v>420</v>
      </c>
      <c r="BL305" s="93" t="s">
        <v>265</v>
      </c>
    </row>
    <row r="306" spans="1:64" x14ac:dyDescent="0.25">
      <c r="A306"/>
      <c r="BJ306" s="91" t="s">
        <v>583</v>
      </c>
      <c r="BK306" s="92" t="s">
        <v>16</v>
      </c>
      <c r="BL306" s="93" t="s">
        <v>266</v>
      </c>
    </row>
    <row r="307" spans="1:64" x14ac:dyDescent="0.25">
      <c r="A307"/>
      <c r="BJ307" s="91" t="s">
        <v>347</v>
      </c>
      <c r="BK307" s="92" t="s">
        <v>21</v>
      </c>
      <c r="BL307" s="93" t="s">
        <v>267</v>
      </c>
    </row>
    <row r="308" spans="1:64" x14ac:dyDescent="0.25">
      <c r="A308"/>
      <c r="BJ308" s="91" t="s">
        <v>916</v>
      </c>
      <c r="BK308" s="92" t="s">
        <v>263</v>
      </c>
      <c r="BL308" s="93" t="s">
        <v>266</v>
      </c>
    </row>
    <row r="309" spans="1:64" x14ac:dyDescent="0.25">
      <c r="A309"/>
      <c r="BJ309" s="91" t="s">
        <v>438</v>
      </c>
      <c r="BK309" s="92" t="s">
        <v>263</v>
      </c>
      <c r="BL309" s="93" t="s">
        <v>264</v>
      </c>
    </row>
    <row r="310" spans="1:64" x14ac:dyDescent="0.25">
      <c r="A310"/>
      <c r="BJ310" s="91" t="s">
        <v>654</v>
      </c>
      <c r="BK310" s="92" t="s">
        <v>420</v>
      </c>
      <c r="BL310" s="93" t="s">
        <v>266</v>
      </c>
    </row>
    <row r="311" spans="1:64" x14ac:dyDescent="0.25">
      <c r="A311"/>
      <c r="BJ311" s="91" t="s">
        <v>459</v>
      </c>
      <c r="BK311" s="92" t="s">
        <v>21</v>
      </c>
      <c r="BL311" s="93" t="s">
        <v>266</v>
      </c>
    </row>
    <row r="312" spans="1:64" x14ac:dyDescent="0.25">
      <c r="A312"/>
      <c r="BJ312" s="91" t="s">
        <v>892</v>
      </c>
      <c r="BK312" s="92" t="s">
        <v>16</v>
      </c>
      <c r="BL312" s="93" t="s">
        <v>266</v>
      </c>
    </row>
    <row r="313" spans="1:64" x14ac:dyDescent="0.25">
      <c r="A313"/>
      <c r="BJ313" s="91" t="s">
        <v>465</v>
      </c>
      <c r="BK313" s="92" t="s">
        <v>21</v>
      </c>
      <c r="BL313" s="93" t="s">
        <v>264</v>
      </c>
    </row>
    <row r="314" spans="1:64" x14ac:dyDescent="0.25">
      <c r="A314"/>
      <c r="BJ314" s="91" t="s">
        <v>826</v>
      </c>
      <c r="BK314" s="92" t="s">
        <v>263</v>
      </c>
      <c r="BL314" s="93" t="s">
        <v>265</v>
      </c>
    </row>
    <row r="315" spans="1:64" x14ac:dyDescent="0.25">
      <c r="A315"/>
      <c r="BJ315" s="91" t="s">
        <v>542</v>
      </c>
      <c r="BK315" s="92" t="s">
        <v>16</v>
      </c>
      <c r="BL315" s="93" t="s">
        <v>265</v>
      </c>
    </row>
    <row r="316" spans="1:64" x14ac:dyDescent="0.25">
      <c r="A316"/>
      <c r="BJ316" s="91" t="s">
        <v>494</v>
      </c>
      <c r="BK316" s="92" t="s">
        <v>16</v>
      </c>
      <c r="BL316" s="93" t="s">
        <v>264</v>
      </c>
    </row>
    <row r="317" spans="1:64" x14ac:dyDescent="0.25">
      <c r="A317"/>
      <c r="BJ317" s="91" t="s">
        <v>641</v>
      </c>
      <c r="BK317" s="92" t="s">
        <v>263</v>
      </c>
      <c r="BL317" s="93" t="s">
        <v>266</v>
      </c>
    </row>
    <row r="318" spans="1:64" x14ac:dyDescent="0.25">
      <c r="A318"/>
      <c r="BJ318" s="91" t="s">
        <v>763</v>
      </c>
      <c r="BK318" s="92" t="s">
        <v>16</v>
      </c>
      <c r="BL318" s="93" t="s">
        <v>265</v>
      </c>
    </row>
    <row r="319" spans="1:64" x14ac:dyDescent="0.25">
      <c r="A319"/>
      <c r="BJ319" s="91" t="s">
        <v>448</v>
      </c>
      <c r="BK319" s="92" t="s">
        <v>20</v>
      </c>
      <c r="BL319" s="93" t="s">
        <v>264</v>
      </c>
    </row>
    <row r="320" spans="1:64" x14ac:dyDescent="0.25">
      <c r="A320"/>
      <c r="BJ320" s="91" t="s">
        <v>426</v>
      </c>
      <c r="BK320" s="92" t="s">
        <v>263</v>
      </c>
      <c r="BL320" s="93" t="s">
        <v>267</v>
      </c>
    </row>
    <row r="321" spans="1:64" x14ac:dyDescent="0.25">
      <c r="A321"/>
      <c r="BJ321" s="91" t="s">
        <v>517</v>
      </c>
      <c r="BK321" s="92" t="s">
        <v>263</v>
      </c>
      <c r="BL321" s="93" t="s">
        <v>264</v>
      </c>
    </row>
    <row r="322" spans="1:64" x14ac:dyDescent="0.25">
      <c r="A322"/>
      <c r="BJ322" s="91" t="s">
        <v>493</v>
      </c>
      <c r="BK322" s="92" t="s">
        <v>21</v>
      </c>
      <c r="BL322" s="93" t="s">
        <v>265</v>
      </c>
    </row>
    <row r="323" spans="1:64" x14ac:dyDescent="0.25">
      <c r="A323"/>
      <c r="BJ323" s="91" t="s">
        <v>775</v>
      </c>
      <c r="BK323" s="92" t="s">
        <v>21</v>
      </c>
      <c r="BL323" s="93" t="s">
        <v>264</v>
      </c>
    </row>
    <row r="324" spans="1:64" x14ac:dyDescent="0.25">
      <c r="A324"/>
      <c r="BJ324" s="91" t="s">
        <v>917</v>
      </c>
      <c r="BK324" s="92" t="s">
        <v>20</v>
      </c>
      <c r="BL324" s="93" t="s">
        <v>264</v>
      </c>
    </row>
    <row r="325" spans="1:64" x14ac:dyDescent="0.25">
      <c r="A325"/>
      <c r="BJ325" s="91" t="s">
        <v>918</v>
      </c>
      <c r="BK325" s="92" t="s">
        <v>263</v>
      </c>
      <c r="BL325" s="93" t="s">
        <v>265</v>
      </c>
    </row>
    <row r="326" spans="1:64" x14ac:dyDescent="0.25">
      <c r="A326"/>
      <c r="BJ326" s="91" t="s">
        <v>756</v>
      </c>
      <c r="BK326" s="92" t="s">
        <v>20</v>
      </c>
      <c r="BL326" s="93" t="s">
        <v>264</v>
      </c>
    </row>
    <row r="327" spans="1:64" x14ac:dyDescent="0.25">
      <c r="A327"/>
      <c r="BJ327" s="91" t="s">
        <v>636</v>
      </c>
      <c r="BK327" s="92" t="s">
        <v>263</v>
      </c>
      <c r="BL327" s="93" t="s">
        <v>266</v>
      </c>
    </row>
    <row r="328" spans="1:64" x14ac:dyDescent="0.25">
      <c r="A328"/>
      <c r="BJ328" s="91" t="s">
        <v>594</v>
      </c>
      <c r="BK328" s="92" t="s">
        <v>20</v>
      </c>
      <c r="BL328" s="93" t="s">
        <v>266</v>
      </c>
    </row>
    <row r="329" spans="1:64" x14ac:dyDescent="0.25">
      <c r="A329"/>
      <c r="BJ329" s="91" t="s">
        <v>819</v>
      </c>
      <c r="BK329" s="92" t="s">
        <v>20</v>
      </c>
      <c r="BL329" s="93" t="s">
        <v>267</v>
      </c>
    </row>
    <row r="330" spans="1:64" x14ac:dyDescent="0.25">
      <c r="A330"/>
      <c r="BJ330" s="91" t="s">
        <v>587</v>
      </c>
      <c r="BK330" s="92" t="s">
        <v>20</v>
      </c>
      <c r="BL330" s="93" t="s">
        <v>264</v>
      </c>
    </row>
    <row r="331" spans="1:64" x14ac:dyDescent="0.25">
      <c r="A331"/>
      <c r="BJ331" s="91" t="s">
        <v>476</v>
      </c>
      <c r="BK331" s="92" t="s">
        <v>21</v>
      </c>
      <c r="BL331" s="93" t="s">
        <v>264</v>
      </c>
    </row>
    <row r="332" spans="1:64" x14ac:dyDescent="0.25">
      <c r="A332"/>
      <c r="BJ332" s="91" t="s">
        <v>682</v>
      </c>
      <c r="BK332" s="92" t="s">
        <v>21</v>
      </c>
      <c r="BL332" s="93" t="s">
        <v>265</v>
      </c>
    </row>
    <row r="333" spans="1:64" x14ac:dyDescent="0.25">
      <c r="A333"/>
      <c r="BJ333" s="91" t="s">
        <v>873</v>
      </c>
      <c r="BK333" s="92" t="s">
        <v>263</v>
      </c>
      <c r="BL333" s="93" t="s">
        <v>264</v>
      </c>
    </row>
    <row r="334" spans="1:64" x14ac:dyDescent="0.25">
      <c r="A334"/>
      <c r="BJ334" s="91" t="s">
        <v>457</v>
      </c>
      <c r="BK334" s="92" t="s">
        <v>263</v>
      </c>
      <c r="BL334" s="93" t="s">
        <v>264</v>
      </c>
    </row>
    <row r="335" spans="1:64" x14ac:dyDescent="0.25">
      <c r="A335"/>
      <c r="BJ335" s="91" t="s">
        <v>660</v>
      </c>
      <c r="BK335" s="92" t="s">
        <v>420</v>
      </c>
      <c r="BL335" s="93" t="s">
        <v>265</v>
      </c>
    </row>
    <row r="336" spans="1:64" x14ac:dyDescent="0.25">
      <c r="A336"/>
      <c r="BJ336" s="91" t="s">
        <v>524</v>
      </c>
      <c r="BK336" s="92" t="s">
        <v>21</v>
      </c>
      <c r="BL336" s="93" t="s">
        <v>266</v>
      </c>
    </row>
    <row r="337" spans="1:64" x14ac:dyDescent="0.25">
      <c r="A337"/>
      <c r="BJ337" s="91" t="s">
        <v>371</v>
      </c>
      <c r="BK337" s="92" t="s">
        <v>21</v>
      </c>
      <c r="BL337" s="93" t="s">
        <v>265</v>
      </c>
    </row>
    <row r="338" spans="1:64" x14ac:dyDescent="0.25">
      <c r="A338"/>
      <c r="BJ338" s="91" t="s">
        <v>372</v>
      </c>
      <c r="BK338" s="92" t="s">
        <v>21</v>
      </c>
      <c r="BL338" s="93" t="s">
        <v>264</v>
      </c>
    </row>
    <row r="339" spans="1:64" x14ac:dyDescent="0.25">
      <c r="A339"/>
      <c r="BJ339" s="91" t="s">
        <v>373</v>
      </c>
      <c r="BK339" s="92" t="s">
        <v>21</v>
      </c>
      <c r="BL339" s="93" t="s">
        <v>266</v>
      </c>
    </row>
    <row r="340" spans="1:64" x14ac:dyDescent="0.25">
      <c r="A340"/>
      <c r="BJ340" s="91" t="s">
        <v>540</v>
      </c>
      <c r="BK340" s="92" t="s">
        <v>263</v>
      </c>
      <c r="BL340" s="93" t="s">
        <v>266</v>
      </c>
    </row>
    <row r="341" spans="1:64" x14ac:dyDescent="0.25">
      <c r="A341"/>
      <c r="BJ341" s="91" t="s">
        <v>698</v>
      </c>
      <c r="BK341" s="92" t="s">
        <v>20</v>
      </c>
      <c r="BL341" s="93" t="s">
        <v>264</v>
      </c>
    </row>
    <row r="342" spans="1:64" x14ac:dyDescent="0.25">
      <c r="A342"/>
      <c r="BJ342" s="91" t="s">
        <v>675</v>
      </c>
      <c r="BK342" s="92" t="s">
        <v>21</v>
      </c>
      <c r="BL342" s="93" t="s">
        <v>264</v>
      </c>
    </row>
    <row r="343" spans="1:64" x14ac:dyDescent="0.25">
      <c r="A343"/>
      <c r="BJ343" s="91" t="s">
        <v>555</v>
      </c>
      <c r="BK343" s="92" t="s">
        <v>20</v>
      </c>
      <c r="BL343" s="93" t="s">
        <v>265</v>
      </c>
    </row>
    <row r="344" spans="1:64" x14ac:dyDescent="0.25">
      <c r="A344"/>
      <c r="BJ344" s="91" t="s">
        <v>897</v>
      </c>
      <c r="BK344" s="92" t="s">
        <v>263</v>
      </c>
      <c r="BL344" s="93" t="s">
        <v>265</v>
      </c>
    </row>
    <row r="345" spans="1:64" x14ac:dyDescent="0.25">
      <c r="A345"/>
      <c r="BJ345" s="91" t="s">
        <v>764</v>
      </c>
      <c r="BK345" s="92" t="s">
        <v>21</v>
      </c>
      <c r="BL345" s="93" t="s">
        <v>265</v>
      </c>
    </row>
    <row r="346" spans="1:64" x14ac:dyDescent="0.25">
      <c r="A346"/>
      <c r="BJ346" s="91" t="s">
        <v>711</v>
      </c>
      <c r="BK346" s="92" t="s">
        <v>20</v>
      </c>
      <c r="BL346" s="93" t="s">
        <v>266</v>
      </c>
    </row>
    <row r="347" spans="1:64" x14ac:dyDescent="0.25">
      <c r="A347"/>
      <c r="BJ347" s="91" t="s">
        <v>832</v>
      </c>
      <c r="BK347" s="92" t="s">
        <v>263</v>
      </c>
      <c r="BL347" s="93" t="s">
        <v>266</v>
      </c>
    </row>
    <row r="348" spans="1:64" x14ac:dyDescent="0.25">
      <c r="A348"/>
      <c r="BJ348" s="91" t="s">
        <v>435</v>
      </c>
      <c r="BK348" s="92" t="s">
        <v>21</v>
      </c>
      <c r="BL348" s="93" t="s">
        <v>265</v>
      </c>
    </row>
    <row r="349" spans="1:64" x14ac:dyDescent="0.25">
      <c r="A349"/>
      <c r="BJ349" s="91" t="s">
        <v>691</v>
      </c>
      <c r="BK349" s="92" t="s">
        <v>21</v>
      </c>
      <c r="BL349" s="93" t="s">
        <v>266</v>
      </c>
    </row>
    <row r="350" spans="1:64" x14ac:dyDescent="0.25">
      <c r="A350"/>
      <c r="BJ350" s="91" t="s">
        <v>772</v>
      </c>
      <c r="BK350" s="92" t="s">
        <v>21</v>
      </c>
      <c r="BL350" s="93" t="s">
        <v>264</v>
      </c>
    </row>
    <row r="351" spans="1:64" x14ac:dyDescent="0.25">
      <c r="A351"/>
      <c r="BJ351" s="91" t="s">
        <v>571</v>
      </c>
      <c r="BK351" s="92" t="s">
        <v>20</v>
      </c>
      <c r="BL351" s="93" t="s">
        <v>266</v>
      </c>
    </row>
    <row r="352" spans="1:64" x14ac:dyDescent="0.25">
      <c r="A352"/>
      <c r="BJ352" s="91" t="s">
        <v>790</v>
      </c>
      <c r="BK352" s="92" t="s">
        <v>263</v>
      </c>
      <c r="BL352" s="93" t="s">
        <v>264</v>
      </c>
    </row>
    <row r="353" spans="1:64" x14ac:dyDescent="0.25">
      <c r="A353"/>
      <c r="BJ353" s="91" t="s">
        <v>746</v>
      </c>
      <c r="BK353" s="92" t="s">
        <v>21</v>
      </c>
      <c r="BL353" s="93" t="s">
        <v>265</v>
      </c>
    </row>
    <row r="354" spans="1:64" x14ac:dyDescent="0.25">
      <c r="A354"/>
      <c r="BJ354" s="91" t="s">
        <v>759</v>
      </c>
      <c r="BK354" s="92" t="s">
        <v>20</v>
      </c>
      <c r="BL354" s="93" t="s">
        <v>266</v>
      </c>
    </row>
    <row r="355" spans="1:64" x14ac:dyDescent="0.25">
      <c r="A355"/>
      <c r="BJ355" s="91" t="s">
        <v>354</v>
      </c>
      <c r="BK355" s="92" t="s">
        <v>20</v>
      </c>
      <c r="BL355" s="93" t="s">
        <v>267</v>
      </c>
    </row>
    <row r="356" spans="1:64" x14ac:dyDescent="0.25">
      <c r="A356"/>
      <c r="BJ356" s="91" t="s">
        <v>658</v>
      </c>
      <c r="BK356" s="92" t="s">
        <v>20</v>
      </c>
      <c r="BL356" s="93" t="s">
        <v>265</v>
      </c>
    </row>
    <row r="357" spans="1:64" x14ac:dyDescent="0.25">
      <c r="A357"/>
      <c r="BJ357" s="91" t="s">
        <v>758</v>
      </c>
      <c r="BK357" s="92" t="s">
        <v>21</v>
      </c>
      <c r="BL357" s="93" t="s">
        <v>267</v>
      </c>
    </row>
    <row r="358" spans="1:64" x14ac:dyDescent="0.25">
      <c r="A358"/>
      <c r="BJ358" s="91" t="s">
        <v>733</v>
      </c>
      <c r="BK358" s="92" t="s">
        <v>21</v>
      </c>
      <c r="BL358" s="93" t="s">
        <v>264</v>
      </c>
    </row>
    <row r="359" spans="1:64" x14ac:dyDescent="0.25">
      <c r="A359"/>
      <c r="BJ359" s="91" t="s">
        <v>803</v>
      </c>
      <c r="BK359" s="92" t="s">
        <v>16</v>
      </c>
      <c r="BL359" s="93" t="s">
        <v>265</v>
      </c>
    </row>
    <row r="360" spans="1:64" x14ac:dyDescent="0.25">
      <c r="A360"/>
      <c r="BJ360" s="91" t="s">
        <v>645</v>
      </c>
      <c r="BK360" s="92" t="s">
        <v>16</v>
      </c>
      <c r="BL360" s="93" t="s">
        <v>264</v>
      </c>
    </row>
    <row r="361" spans="1:64" x14ac:dyDescent="0.25">
      <c r="A361"/>
      <c r="BJ361" s="91" t="s">
        <v>705</v>
      </c>
      <c r="BK361" s="92" t="s">
        <v>20</v>
      </c>
      <c r="BL361" s="93" t="s">
        <v>267</v>
      </c>
    </row>
    <row r="362" spans="1:64" x14ac:dyDescent="0.25">
      <c r="A362"/>
      <c r="BJ362" s="91" t="s">
        <v>569</v>
      </c>
      <c r="BK362" s="92" t="s">
        <v>21</v>
      </c>
      <c r="BL362" s="93" t="s">
        <v>266</v>
      </c>
    </row>
    <row r="363" spans="1:64" x14ac:dyDescent="0.25">
      <c r="A363"/>
      <c r="BJ363" s="91" t="s">
        <v>738</v>
      </c>
      <c r="BK363" s="92" t="s">
        <v>20</v>
      </c>
      <c r="BL363" s="93" t="s">
        <v>267</v>
      </c>
    </row>
    <row r="364" spans="1:64" x14ac:dyDescent="0.25">
      <c r="A364"/>
      <c r="BJ364" s="91" t="s">
        <v>852</v>
      </c>
      <c r="BK364" s="92" t="s">
        <v>263</v>
      </c>
      <c r="BL364" s="93" t="s">
        <v>266</v>
      </c>
    </row>
    <row r="365" spans="1:64" x14ac:dyDescent="0.25">
      <c r="A365"/>
      <c r="BJ365" s="91" t="s">
        <v>685</v>
      </c>
      <c r="BK365" s="92" t="s">
        <v>263</v>
      </c>
      <c r="BL365" s="93" t="s">
        <v>264</v>
      </c>
    </row>
    <row r="366" spans="1:64" x14ac:dyDescent="0.25">
      <c r="A366"/>
      <c r="BJ366" s="91" t="s">
        <v>468</v>
      </c>
      <c r="BK366" s="92" t="s">
        <v>16</v>
      </c>
      <c r="BL366" s="93" t="s">
        <v>266</v>
      </c>
    </row>
    <row r="367" spans="1:64" x14ac:dyDescent="0.25">
      <c r="A367"/>
      <c r="BJ367" s="91" t="s">
        <v>422</v>
      </c>
      <c r="BK367" s="92" t="s">
        <v>21</v>
      </c>
      <c r="BL367" s="93" t="s">
        <v>267</v>
      </c>
    </row>
    <row r="368" spans="1:64" x14ac:dyDescent="0.25">
      <c r="A368"/>
      <c r="BJ368" s="91" t="s">
        <v>432</v>
      </c>
      <c r="BK368" s="92" t="s">
        <v>20</v>
      </c>
      <c r="BL368" s="93" t="s">
        <v>264</v>
      </c>
    </row>
    <row r="369" spans="1:64" x14ac:dyDescent="0.25">
      <c r="A369"/>
      <c r="BJ369" s="91" t="s">
        <v>673</v>
      </c>
      <c r="BK369" s="92" t="s">
        <v>20</v>
      </c>
      <c r="BL369" s="93" t="s">
        <v>265</v>
      </c>
    </row>
    <row r="370" spans="1:64" x14ac:dyDescent="0.25">
      <c r="A370"/>
      <c r="BJ370" s="91" t="s">
        <v>596</v>
      </c>
      <c r="BK370" s="92" t="s">
        <v>20</v>
      </c>
      <c r="BL370" s="93" t="s">
        <v>264</v>
      </c>
    </row>
    <row r="371" spans="1:64" x14ac:dyDescent="0.25">
      <c r="A371"/>
      <c r="BJ371" s="91" t="s">
        <v>824</v>
      </c>
      <c r="BK371" s="92" t="s">
        <v>20</v>
      </c>
      <c r="BL371" s="93" t="s">
        <v>266</v>
      </c>
    </row>
    <row r="372" spans="1:64" x14ac:dyDescent="0.25">
      <c r="A372"/>
      <c r="BJ372" s="91" t="s">
        <v>854</v>
      </c>
      <c r="BK372" s="92" t="s">
        <v>16</v>
      </c>
      <c r="BL372" s="93" t="s">
        <v>265</v>
      </c>
    </row>
    <row r="373" spans="1:64" x14ac:dyDescent="0.25">
      <c r="A373"/>
      <c r="BJ373" s="91" t="s">
        <v>871</v>
      </c>
      <c r="BK373" s="92" t="s">
        <v>16</v>
      </c>
      <c r="BL373" s="93" t="s">
        <v>265</v>
      </c>
    </row>
    <row r="374" spans="1:64" x14ac:dyDescent="0.25">
      <c r="A374"/>
      <c r="BJ374" s="91" t="s">
        <v>363</v>
      </c>
      <c r="BK374" s="92" t="s">
        <v>20</v>
      </c>
      <c r="BL374" s="93" t="s">
        <v>267</v>
      </c>
    </row>
    <row r="375" spans="1:64" x14ac:dyDescent="0.25">
      <c r="A375"/>
      <c r="BJ375" s="91" t="s">
        <v>825</v>
      </c>
      <c r="BK375" s="92" t="s">
        <v>16</v>
      </c>
      <c r="BL375" s="93" t="s">
        <v>266</v>
      </c>
    </row>
    <row r="376" spans="1:64" x14ac:dyDescent="0.25">
      <c r="A376"/>
      <c r="BJ376" s="91" t="s">
        <v>684</v>
      </c>
      <c r="BK376" s="92" t="s">
        <v>20</v>
      </c>
      <c r="BL376" s="93" t="s">
        <v>265</v>
      </c>
    </row>
    <row r="377" spans="1:64" x14ac:dyDescent="0.25">
      <c r="A377"/>
      <c r="BJ377" s="91" t="s">
        <v>639</v>
      </c>
      <c r="BK377" s="92" t="s">
        <v>21</v>
      </c>
      <c r="BL377" s="93" t="s">
        <v>264</v>
      </c>
    </row>
    <row r="378" spans="1:64" x14ac:dyDescent="0.25">
      <c r="A378"/>
      <c r="BJ378" s="91" t="s">
        <v>548</v>
      </c>
      <c r="BK378" s="92" t="s">
        <v>21</v>
      </c>
      <c r="BL378" s="93" t="s">
        <v>267</v>
      </c>
    </row>
    <row r="379" spans="1:64" x14ac:dyDescent="0.25">
      <c r="A379"/>
      <c r="BJ379" s="91" t="s">
        <v>856</v>
      </c>
      <c r="BK379" s="92" t="s">
        <v>20</v>
      </c>
      <c r="BL379" s="93" t="s">
        <v>264</v>
      </c>
    </row>
    <row r="380" spans="1:64" x14ac:dyDescent="0.25">
      <c r="A380"/>
      <c r="BJ380" s="91" t="s">
        <v>477</v>
      </c>
      <c r="BK380" s="92" t="s">
        <v>20</v>
      </c>
      <c r="BL380" s="93" t="s">
        <v>265</v>
      </c>
    </row>
    <row r="381" spans="1:64" x14ac:dyDescent="0.25">
      <c r="A381"/>
      <c r="BJ381" s="91" t="s">
        <v>513</v>
      </c>
      <c r="BK381" s="92" t="s">
        <v>263</v>
      </c>
      <c r="BL381" s="93" t="s">
        <v>265</v>
      </c>
    </row>
    <row r="382" spans="1:64" x14ac:dyDescent="0.25">
      <c r="A382"/>
      <c r="BJ382" s="91" t="s">
        <v>385</v>
      </c>
      <c r="BK382" s="92" t="s">
        <v>263</v>
      </c>
      <c r="BL382" s="93" t="s">
        <v>264</v>
      </c>
    </row>
    <row r="383" spans="1:64" x14ac:dyDescent="0.25">
      <c r="A383"/>
      <c r="BJ383" s="91" t="s">
        <v>809</v>
      </c>
      <c r="BK383" s="92" t="s">
        <v>20</v>
      </c>
      <c r="BL383" s="93" t="s">
        <v>265</v>
      </c>
    </row>
    <row r="384" spans="1:64" x14ac:dyDescent="0.25">
      <c r="A384"/>
      <c r="BJ384" s="91" t="s">
        <v>708</v>
      </c>
      <c r="BK384" s="92" t="s">
        <v>20</v>
      </c>
      <c r="BL384" s="93" t="s">
        <v>264</v>
      </c>
    </row>
    <row r="385" spans="1:64" x14ac:dyDescent="0.25">
      <c r="A385"/>
      <c r="BJ385" s="91" t="s">
        <v>774</v>
      </c>
      <c r="BK385" s="92" t="s">
        <v>263</v>
      </c>
      <c r="BL385" s="93" t="s">
        <v>265</v>
      </c>
    </row>
    <row r="386" spans="1:64" x14ac:dyDescent="0.25">
      <c r="A386"/>
      <c r="BJ386" s="91" t="s">
        <v>472</v>
      </c>
      <c r="BK386" s="92" t="s">
        <v>20</v>
      </c>
      <c r="BL386" s="93" t="s">
        <v>266</v>
      </c>
    </row>
    <row r="387" spans="1:64" x14ac:dyDescent="0.25">
      <c r="A387"/>
      <c r="BJ387" s="91" t="s">
        <v>919</v>
      </c>
      <c r="BK387" s="92" t="s">
        <v>21</v>
      </c>
      <c r="BL387" s="93" t="s">
        <v>264</v>
      </c>
    </row>
    <row r="388" spans="1:64" x14ac:dyDescent="0.25">
      <c r="A388"/>
      <c r="BJ388" s="91" t="s">
        <v>816</v>
      </c>
      <c r="BK388" s="92" t="s">
        <v>21</v>
      </c>
      <c r="BL388" s="93" t="s">
        <v>265</v>
      </c>
    </row>
    <row r="389" spans="1:64" x14ac:dyDescent="0.25">
      <c r="A389"/>
      <c r="BJ389" s="91" t="s">
        <v>545</v>
      </c>
      <c r="BK389" s="92" t="s">
        <v>20</v>
      </c>
      <c r="BL389" s="93" t="s">
        <v>266</v>
      </c>
    </row>
    <row r="390" spans="1:64" x14ac:dyDescent="0.25">
      <c r="A390"/>
      <c r="BJ390" s="91" t="s">
        <v>894</v>
      </c>
      <c r="BK390" s="92" t="s">
        <v>263</v>
      </c>
      <c r="BL390" s="93" t="s">
        <v>267</v>
      </c>
    </row>
    <row r="391" spans="1:64" x14ac:dyDescent="0.25">
      <c r="A391"/>
      <c r="BJ391" s="91" t="s">
        <v>674</v>
      </c>
      <c r="BK391" s="92" t="s">
        <v>263</v>
      </c>
      <c r="BL391" s="93" t="s">
        <v>265</v>
      </c>
    </row>
    <row r="392" spans="1:64" x14ac:dyDescent="0.25">
      <c r="A392"/>
      <c r="BJ392" s="91" t="s">
        <v>800</v>
      </c>
      <c r="BK392" s="92" t="s">
        <v>21</v>
      </c>
      <c r="BL392" s="93" t="s">
        <v>267</v>
      </c>
    </row>
    <row r="393" spans="1:64" x14ac:dyDescent="0.25">
      <c r="A393"/>
      <c r="BJ393" s="91" t="s">
        <v>611</v>
      </c>
      <c r="BK393" s="92" t="s">
        <v>21</v>
      </c>
      <c r="BL393" s="93" t="s">
        <v>267</v>
      </c>
    </row>
    <row r="394" spans="1:64" x14ac:dyDescent="0.25">
      <c r="A394"/>
      <c r="BJ394" s="91" t="s">
        <v>529</v>
      </c>
      <c r="BK394" s="92" t="s">
        <v>21</v>
      </c>
      <c r="BL394" s="93" t="s">
        <v>265</v>
      </c>
    </row>
    <row r="395" spans="1:64" x14ac:dyDescent="0.25">
      <c r="A395"/>
      <c r="BJ395" s="91" t="s">
        <v>864</v>
      </c>
      <c r="BK395" s="92" t="s">
        <v>20</v>
      </c>
      <c r="BL395" s="93" t="s">
        <v>266</v>
      </c>
    </row>
    <row r="396" spans="1:64" x14ac:dyDescent="0.25">
      <c r="A396"/>
      <c r="BJ396" s="91" t="s">
        <v>581</v>
      </c>
      <c r="BK396" s="92" t="s">
        <v>263</v>
      </c>
      <c r="BL396" s="93" t="s">
        <v>265</v>
      </c>
    </row>
    <row r="397" spans="1:64" x14ac:dyDescent="0.25">
      <c r="A397"/>
      <c r="BJ397" s="91" t="s">
        <v>657</v>
      </c>
      <c r="BK397" s="92" t="s">
        <v>21</v>
      </c>
      <c r="BL397" s="93" t="s">
        <v>267</v>
      </c>
    </row>
    <row r="398" spans="1:64" x14ac:dyDescent="0.25">
      <c r="A398"/>
      <c r="BJ398" s="91" t="s">
        <v>680</v>
      </c>
      <c r="BK398" s="92" t="s">
        <v>21</v>
      </c>
      <c r="BL398" s="93" t="s">
        <v>266</v>
      </c>
    </row>
    <row r="399" spans="1:64" x14ac:dyDescent="0.25">
      <c r="A399"/>
      <c r="BJ399" s="91" t="s">
        <v>451</v>
      </c>
      <c r="BK399" s="92" t="s">
        <v>263</v>
      </c>
      <c r="BL399" s="93" t="s">
        <v>264</v>
      </c>
    </row>
    <row r="400" spans="1:64" x14ac:dyDescent="0.25">
      <c r="A400"/>
      <c r="BJ400" s="91" t="s">
        <v>357</v>
      </c>
      <c r="BK400" s="92" t="s">
        <v>20</v>
      </c>
      <c r="BL400" s="93" t="s">
        <v>267</v>
      </c>
    </row>
    <row r="401" spans="1:64" x14ac:dyDescent="0.25">
      <c r="A401"/>
      <c r="BJ401" s="91" t="s">
        <v>858</v>
      </c>
      <c r="BK401" s="92" t="s">
        <v>21</v>
      </c>
      <c r="BL401" s="93" t="s">
        <v>266</v>
      </c>
    </row>
    <row r="402" spans="1:64" x14ac:dyDescent="0.25">
      <c r="A402"/>
      <c r="BJ402" s="91" t="s">
        <v>866</v>
      </c>
      <c r="BK402" s="92" t="s">
        <v>21</v>
      </c>
      <c r="BL402" s="93" t="s">
        <v>265</v>
      </c>
    </row>
    <row r="403" spans="1:64" x14ac:dyDescent="0.25">
      <c r="A403"/>
      <c r="BJ403" s="91" t="s">
        <v>888</v>
      </c>
      <c r="BK403" s="92" t="s">
        <v>21</v>
      </c>
      <c r="BL403" s="93" t="s">
        <v>267</v>
      </c>
    </row>
    <row r="404" spans="1:64" x14ac:dyDescent="0.25">
      <c r="A404"/>
      <c r="BJ404" s="91" t="s">
        <v>845</v>
      </c>
      <c r="BK404" s="92" t="s">
        <v>263</v>
      </c>
      <c r="BL404" s="93" t="s">
        <v>267</v>
      </c>
    </row>
    <row r="405" spans="1:64" x14ac:dyDescent="0.25">
      <c r="A405"/>
      <c r="BJ405" s="91" t="s">
        <v>575</v>
      </c>
      <c r="BK405" s="92" t="s">
        <v>263</v>
      </c>
      <c r="BL405" s="93" t="s">
        <v>264</v>
      </c>
    </row>
    <row r="406" spans="1:64" x14ac:dyDescent="0.25">
      <c r="A406"/>
      <c r="BJ406" s="91" t="s">
        <v>920</v>
      </c>
      <c r="BK406" s="92" t="s">
        <v>21</v>
      </c>
      <c r="BL406" s="93" t="s">
        <v>265</v>
      </c>
    </row>
    <row r="407" spans="1:64" x14ac:dyDescent="0.25">
      <c r="A407"/>
      <c r="BJ407" s="91" t="s">
        <v>635</v>
      </c>
      <c r="BK407" s="92" t="s">
        <v>21</v>
      </c>
      <c r="BL407" s="93" t="s">
        <v>265</v>
      </c>
    </row>
    <row r="408" spans="1:64" x14ac:dyDescent="0.25">
      <c r="A408"/>
      <c r="BJ408" s="91" t="s">
        <v>687</v>
      </c>
      <c r="BK408" s="92" t="s">
        <v>20</v>
      </c>
      <c r="BL408" s="93" t="s">
        <v>266</v>
      </c>
    </row>
    <row r="409" spans="1:64" x14ac:dyDescent="0.25">
      <c r="A409"/>
      <c r="BJ409" s="91" t="s">
        <v>488</v>
      </c>
      <c r="BK409" s="92" t="s">
        <v>20</v>
      </c>
      <c r="BL409" s="93" t="s">
        <v>266</v>
      </c>
    </row>
    <row r="410" spans="1:64" x14ac:dyDescent="0.25">
      <c r="A410"/>
      <c r="BJ410" s="91" t="s">
        <v>582</v>
      </c>
      <c r="BK410" s="92" t="s">
        <v>20</v>
      </c>
      <c r="BL410" s="93" t="s">
        <v>265</v>
      </c>
    </row>
    <row r="411" spans="1:64" x14ac:dyDescent="0.25">
      <c r="A411"/>
      <c r="BJ411" s="91" t="s">
        <v>537</v>
      </c>
      <c r="BK411" s="92" t="s">
        <v>20</v>
      </c>
      <c r="BL411" s="93" t="s">
        <v>266</v>
      </c>
    </row>
    <row r="412" spans="1:64" x14ac:dyDescent="0.25">
      <c r="A412"/>
      <c r="BJ412" s="91" t="s">
        <v>533</v>
      </c>
      <c r="BK412" s="92" t="s">
        <v>20</v>
      </c>
      <c r="BL412" s="93" t="s">
        <v>264</v>
      </c>
    </row>
    <row r="413" spans="1:64" x14ac:dyDescent="0.25">
      <c r="A413"/>
      <c r="BJ413" s="91" t="s">
        <v>380</v>
      </c>
      <c r="BK413" s="92" t="s">
        <v>263</v>
      </c>
      <c r="BL413" s="93" t="s">
        <v>267</v>
      </c>
    </row>
    <row r="414" spans="1:64" x14ac:dyDescent="0.25">
      <c r="A414"/>
      <c r="BJ414" s="91" t="s">
        <v>921</v>
      </c>
      <c r="BK414" s="92" t="s">
        <v>263</v>
      </c>
      <c r="BL414" s="93" t="s">
        <v>264</v>
      </c>
    </row>
    <row r="415" spans="1:64" x14ac:dyDescent="0.25">
      <c r="A415"/>
      <c r="BJ415" s="91" t="s">
        <v>565</v>
      </c>
      <c r="BK415" s="92" t="s">
        <v>20</v>
      </c>
      <c r="BL415" s="93" t="s">
        <v>266</v>
      </c>
    </row>
    <row r="416" spans="1:64" x14ac:dyDescent="0.25">
      <c r="A416"/>
      <c r="BJ416" s="91" t="s">
        <v>861</v>
      </c>
      <c r="BK416" s="92" t="s">
        <v>21</v>
      </c>
      <c r="BL416" s="93" t="s">
        <v>264</v>
      </c>
    </row>
    <row r="417" spans="1:64" x14ac:dyDescent="0.25">
      <c r="A417"/>
      <c r="BJ417" s="91" t="s">
        <v>787</v>
      </c>
      <c r="BK417" s="92" t="s">
        <v>263</v>
      </c>
      <c r="BL417" s="93" t="s">
        <v>267</v>
      </c>
    </row>
    <row r="418" spans="1:64" x14ac:dyDescent="0.25">
      <c r="A418"/>
      <c r="BJ418" s="91" t="s">
        <v>798</v>
      </c>
      <c r="BK418" s="92" t="s">
        <v>16</v>
      </c>
      <c r="BL418" s="93" t="s">
        <v>264</v>
      </c>
    </row>
    <row r="419" spans="1:64" x14ac:dyDescent="0.25">
      <c r="A419"/>
      <c r="BJ419" s="91" t="s">
        <v>750</v>
      </c>
      <c r="BK419" s="92" t="s">
        <v>263</v>
      </c>
      <c r="BL419" s="93" t="s">
        <v>266</v>
      </c>
    </row>
    <row r="420" spans="1:64" x14ac:dyDescent="0.25">
      <c r="A420"/>
      <c r="BJ420" s="91" t="s">
        <v>631</v>
      </c>
      <c r="BK420" s="92" t="s">
        <v>263</v>
      </c>
      <c r="BL420" s="93" t="s">
        <v>267</v>
      </c>
    </row>
    <row r="421" spans="1:64" x14ac:dyDescent="0.25">
      <c r="A421"/>
      <c r="BJ421" s="91" t="s">
        <v>679</v>
      </c>
      <c r="BK421" s="92" t="s">
        <v>263</v>
      </c>
      <c r="BL421" s="93" t="s">
        <v>264</v>
      </c>
    </row>
    <row r="422" spans="1:64" x14ac:dyDescent="0.25">
      <c r="A422"/>
      <c r="BJ422" s="91" t="s">
        <v>512</v>
      </c>
      <c r="BK422" s="92" t="s">
        <v>263</v>
      </c>
      <c r="BL422" s="93" t="s">
        <v>265</v>
      </c>
    </row>
    <row r="423" spans="1:64" x14ac:dyDescent="0.25">
      <c r="A423"/>
      <c r="BJ423" s="91" t="s">
        <v>692</v>
      </c>
      <c r="BK423" s="92" t="s">
        <v>263</v>
      </c>
      <c r="BL423" s="93" t="s">
        <v>267</v>
      </c>
    </row>
    <row r="424" spans="1:64" x14ac:dyDescent="0.25">
      <c r="A424"/>
      <c r="BJ424" s="91" t="s">
        <v>734</v>
      </c>
      <c r="BK424" s="92" t="s">
        <v>21</v>
      </c>
      <c r="BL424" s="93" t="s">
        <v>264</v>
      </c>
    </row>
    <row r="425" spans="1:64" x14ac:dyDescent="0.25">
      <c r="A425"/>
      <c r="BJ425" s="91" t="s">
        <v>404</v>
      </c>
      <c r="BK425" s="92" t="s">
        <v>21</v>
      </c>
      <c r="BL425" s="93" t="s">
        <v>264</v>
      </c>
    </row>
    <row r="426" spans="1:64" x14ac:dyDescent="0.25">
      <c r="A426"/>
      <c r="BJ426" s="91" t="s">
        <v>534</v>
      </c>
      <c r="BK426" s="92" t="s">
        <v>16</v>
      </c>
      <c r="BL426" s="93" t="s">
        <v>265</v>
      </c>
    </row>
    <row r="427" spans="1:64" x14ac:dyDescent="0.25">
      <c r="A427"/>
      <c r="BJ427" s="91" t="s">
        <v>922</v>
      </c>
      <c r="BK427" s="92" t="s">
        <v>21</v>
      </c>
      <c r="BL427" s="93" t="s">
        <v>264</v>
      </c>
    </row>
    <row r="428" spans="1:64" x14ac:dyDescent="0.25">
      <c r="A428"/>
      <c r="BJ428" s="91" t="s">
        <v>898</v>
      </c>
      <c r="BK428" s="92" t="s">
        <v>420</v>
      </c>
      <c r="BL428" s="93" t="s">
        <v>266</v>
      </c>
    </row>
    <row r="429" spans="1:64" x14ac:dyDescent="0.25">
      <c r="A429"/>
      <c r="BJ429" s="91" t="s">
        <v>606</v>
      </c>
      <c r="BK429" s="92" t="s">
        <v>16</v>
      </c>
      <c r="BL429" s="93" t="s">
        <v>264</v>
      </c>
    </row>
    <row r="430" spans="1:64" x14ac:dyDescent="0.25">
      <c r="A430"/>
      <c r="BJ430" s="91" t="s">
        <v>301</v>
      </c>
      <c r="BK430" s="92" t="s">
        <v>21</v>
      </c>
      <c r="BL430" s="93" t="s">
        <v>264</v>
      </c>
    </row>
    <row r="431" spans="1:64" x14ac:dyDescent="0.25">
      <c r="A431"/>
      <c r="BJ431" s="91" t="s">
        <v>384</v>
      </c>
      <c r="BK431" s="92" t="s">
        <v>263</v>
      </c>
      <c r="BL431" s="93" t="s">
        <v>264</v>
      </c>
    </row>
    <row r="432" spans="1:64" x14ac:dyDescent="0.25">
      <c r="A432"/>
      <c r="BJ432" s="91" t="s">
        <v>874</v>
      </c>
      <c r="BK432" s="92" t="s">
        <v>21</v>
      </c>
      <c r="BL432" s="93" t="s">
        <v>265</v>
      </c>
    </row>
    <row r="433" spans="1:64" x14ac:dyDescent="0.25">
      <c r="A433"/>
      <c r="BJ433" s="91" t="s">
        <v>471</v>
      </c>
      <c r="BK433" s="92" t="s">
        <v>263</v>
      </c>
      <c r="BL433" s="93" t="s">
        <v>266</v>
      </c>
    </row>
    <row r="434" spans="1:64" x14ac:dyDescent="0.25">
      <c r="A434"/>
      <c r="BJ434" s="91" t="s">
        <v>760</v>
      </c>
      <c r="BK434" s="92" t="s">
        <v>263</v>
      </c>
      <c r="BL434" s="93" t="s">
        <v>266</v>
      </c>
    </row>
    <row r="435" spans="1:64" x14ac:dyDescent="0.25">
      <c r="A435"/>
      <c r="BJ435" s="91" t="s">
        <v>374</v>
      </c>
      <c r="BK435" s="92" t="s">
        <v>21</v>
      </c>
      <c r="BL435" s="93" t="s">
        <v>266</v>
      </c>
    </row>
    <row r="436" spans="1:64" x14ac:dyDescent="0.25">
      <c r="A436"/>
      <c r="BJ436" s="91" t="s">
        <v>732</v>
      </c>
      <c r="BK436" s="92" t="s">
        <v>420</v>
      </c>
      <c r="BL436" s="93" t="s">
        <v>264</v>
      </c>
    </row>
    <row r="437" spans="1:64" x14ac:dyDescent="0.25">
      <c r="A437"/>
      <c r="BJ437" s="91" t="s">
        <v>375</v>
      </c>
      <c r="BK437" s="92" t="s">
        <v>21</v>
      </c>
      <c r="BL437" s="93" t="s">
        <v>266</v>
      </c>
    </row>
    <row r="438" spans="1:64" x14ac:dyDescent="0.25">
      <c r="A438"/>
      <c r="BJ438" s="91" t="s">
        <v>376</v>
      </c>
      <c r="BK438" s="92" t="s">
        <v>263</v>
      </c>
      <c r="BL438" s="93" t="s">
        <v>266</v>
      </c>
    </row>
    <row r="439" spans="1:64" x14ac:dyDescent="0.25">
      <c r="A439"/>
      <c r="BJ439" s="91" t="s">
        <v>795</v>
      </c>
      <c r="BK439" s="92" t="s">
        <v>263</v>
      </c>
      <c r="BL439" s="93" t="s">
        <v>264</v>
      </c>
    </row>
    <row r="440" spans="1:64" x14ac:dyDescent="0.25">
      <c r="A440"/>
      <c r="BJ440" s="91" t="s">
        <v>923</v>
      </c>
      <c r="BK440" s="92" t="s">
        <v>20</v>
      </c>
      <c r="BL440" s="93" t="s">
        <v>266</v>
      </c>
    </row>
    <row r="441" spans="1:64" x14ac:dyDescent="0.25">
      <c r="A441"/>
      <c r="BJ441" s="91" t="s">
        <v>913</v>
      </c>
      <c r="BK441" s="92" t="s">
        <v>20</v>
      </c>
      <c r="BL441" s="93" t="s">
        <v>265</v>
      </c>
    </row>
    <row r="442" spans="1:64" x14ac:dyDescent="0.25">
      <c r="A442"/>
      <c r="BJ442" s="91" t="s">
        <v>381</v>
      </c>
      <c r="BK442" s="92" t="s">
        <v>21</v>
      </c>
      <c r="BL442" s="93" t="s">
        <v>266</v>
      </c>
    </row>
    <row r="443" spans="1:64" x14ac:dyDescent="0.25">
      <c r="A443"/>
      <c r="BJ443" s="91" t="s">
        <v>502</v>
      </c>
      <c r="BK443" s="92" t="s">
        <v>16</v>
      </c>
      <c r="BL443" s="93" t="s">
        <v>265</v>
      </c>
    </row>
    <row r="444" spans="1:64" x14ac:dyDescent="0.25">
      <c r="A444"/>
      <c r="BJ444" s="91" t="s">
        <v>383</v>
      </c>
      <c r="BK444" s="92" t="s">
        <v>21</v>
      </c>
      <c r="BL444" s="93" t="s">
        <v>264</v>
      </c>
    </row>
    <row r="445" spans="1:64" x14ac:dyDescent="0.25">
      <c r="A445"/>
      <c r="BJ445" s="91" t="s">
        <v>382</v>
      </c>
      <c r="BK445" s="92" t="s">
        <v>21</v>
      </c>
      <c r="BL445" s="93" t="s">
        <v>266</v>
      </c>
    </row>
    <row r="446" spans="1:64" x14ac:dyDescent="0.25">
      <c r="A446"/>
      <c r="BJ446" s="91" t="s">
        <v>386</v>
      </c>
      <c r="BK446" s="92" t="s">
        <v>263</v>
      </c>
      <c r="BL446" s="93" t="s">
        <v>267</v>
      </c>
    </row>
    <row r="447" spans="1:64" x14ac:dyDescent="0.25">
      <c r="A447"/>
      <c r="BJ447" s="91" t="s">
        <v>377</v>
      </c>
      <c r="BK447" s="92" t="s">
        <v>21</v>
      </c>
      <c r="BL447" s="93" t="s">
        <v>264</v>
      </c>
    </row>
    <row r="448" spans="1:64" x14ac:dyDescent="0.25">
      <c r="A448"/>
      <c r="BJ448" s="91" t="s">
        <v>378</v>
      </c>
      <c r="BK448" s="92" t="s">
        <v>21</v>
      </c>
      <c r="BL448" s="93" t="s">
        <v>265</v>
      </c>
    </row>
    <row r="449" spans="1:64" x14ac:dyDescent="0.25">
      <c r="A449"/>
      <c r="BJ449" s="91" t="s">
        <v>872</v>
      </c>
      <c r="BK449" s="92" t="s">
        <v>263</v>
      </c>
      <c r="BL449" s="93" t="s">
        <v>267</v>
      </c>
    </row>
    <row r="450" spans="1:64" x14ac:dyDescent="0.25">
      <c r="A450"/>
      <c r="BJ450" s="91" t="s">
        <v>352</v>
      </c>
      <c r="BK450" s="92" t="s">
        <v>20</v>
      </c>
      <c r="BL450" s="93" t="s">
        <v>267</v>
      </c>
    </row>
    <row r="451" spans="1:64" x14ac:dyDescent="0.25">
      <c r="A451"/>
      <c r="BJ451" s="91" t="s">
        <v>557</v>
      </c>
      <c r="BK451" s="92" t="s">
        <v>20</v>
      </c>
      <c r="BL451" s="93" t="s">
        <v>265</v>
      </c>
    </row>
    <row r="452" spans="1:64" x14ac:dyDescent="0.25">
      <c r="A452"/>
      <c r="BJ452" s="91" t="s">
        <v>515</v>
      </c>
      <c r="BK452" s="92" t="s">
        <v>20</v>
      </c>
      <c r="BL452" s="93" t="s">
        <v>266</v>
      </c>
    </row>
    <row r="453" spans="1:64" x14ac:dyDescent="0.25">
      <c r="A453"/>
      <c r="BJ453" s="91" t="s">
        <v>506</v>
      </c>
      <c r="BK453" s="92" t="s">
        <v>20</v>
      </c>
      <c r="BL453" s="93" t="s">
        <v>264</v>
      </c>
    </row>
    <row r="454" spans="1:64" x14ac:dyDescent="0.25">
      <c r="A454"/>
      <c r="BJ454" s="91" t="s">
        <v>833</v>
      </c>
      <c r="BK454" s="92" t="s">
        <v>20</v>
      </c>
      <c r="BL454" s="93" t="s">
        <v>265</v>
      </c>
    </row>
    <row r="455" spans="1:64" x14ac:dyDescent="0.25">
      <c r="A455"/>
      <c r="BJ455" s="91" t="s">
        <v>743</v>
      </c>
      <c r="BK455" s="92" t="s">
        <v>20</v>
      </c>
      <c r="BL455" s="93" t="s">
        <v>267</v>
      </c>
    </row>
    <row r="456" spans="1:64" x14ac:dyDescent="0.25">
      <c r="A456"/>
      <c r="BJ456" s="91" t="s">
        <v>877</v>
      </c>
      <c r="BK456" s="92" t="s">
        <v>20</v>
      </c>
      <c r="BL456" s="93" t="s">
        <v>266</v>
      </c>
    </row>
    <row r="457" spans="1:64" x14ac:dyDescent="0.25">
      <c r="A457"/>
      <c r="BJ457" s="91" t="s">
        <v>895</v>
      </c>
      <c r="BK457" s="92" t="s">
        <v>20</v>
      </c>
      <c r="BL457" s="93" t="s">
        <v>265</v>
      </c>
    </row>
    <row r="458" spans="1:64" x14ac:dyDescent="0.25">
      <c r="A458"/>
      <c r="BJ458" s="91" t="s">
        <v>807</v>
      </c>
      <c r="BK458" s="92" t="s">
        <v>20</v>
      </c>
      <c r="BL458" s="93" t="s">
        <v>264</v>
      </c>
    </row>
    <row r="459" spans="1:64" x14ac:dyDescent="0.25">
      <c r="A459"/>
      <c r="BJ459" s="91" t="s">
        <v>344</v>
      </c>
      <c r="BK459" s="92" t="s">
        <v>20</v>
      </c>
      <c r="BL459" s="93" t="s">
        <v>267</v>
      </c>
    </row>
    <row r="460" spans="1:64" x14ac:dyDescent="0.25">
      <c r="A460"/>
      <c r="BJ460" s="91" t="s">
        <v>724</v>
      </c>
      <c r="BK460" s="92" t="s">
        <v>20</v>
      </c>
      <c r="BL460" s="93" t="s">
        <v>266</v>
      </c>
    </row>
    <row r="461" spans="1:64" x14ac:dyDescent="0.25">
      <c r="A461"/>
      <c r="BJ461" s="91" t="s">
        <v>584</v>
      </c>
      <c r="BK461" s="92" t="s">
        <v>20</v>
      </c>
      <c r="BL461" s="93" t="s">
        <v>265</v>
      </c>
    </row>
    <row r="462" spans="1:64" x14ac:dyDescent="0.25">
      <c r="A462"/>
      <c r="BJ462" s="91" t="s">
        <v>739</v>
      </c>
      <c r="BK462" s="92" t="s">
        <v>20</v>
      </c>
      <c r="BL462" s="93" t="s">
        <v>264</v>
      </c>
    </row>
    <row r="463" spans="1:64" x14ac:dyDescent="0.25">
      <c r="A463"/>
      <c r="BJ463" s="91" t="s">
        <v>726</v>
      </c>
      <c r="BK463" s="92" t="s">
        <v>20</v>
      </c>
      <c r="BL463" s="93" t="s">
        <v>264</v>
      </c>
    </row>
    <row r="464" spans="1:64" x14ac:dyDescent="0.25">
      <c r="A464"/>
      <c r="BJ464" s="91" t="s">
        <v>418</v>
      </c>
      <c r="BK464" s="92" t="s">
        <v>20</v>
      </c>
      <c r="BL464" s="93" t="s">
        <v>266</v>
      </c>
    </row>
    <row r="465" spans="1:64" x14ac:dyDescent="0.25">
      <c r="A465"/>
      <c r="BJ465" s="91" t="s">
        <v>786</v>
      </c>
      <c r="BK465" s="92" t="s">
        <v>21</v>
      </c>
      <c r="BL465" s="93" t="s">
        <v>264</v>
      </c>
    </row>
    <row r="466" spans="1:64" x14ac:dyDescent="0.25">
      <c r="A466"/>
      <c r="BJ466" s="91" t="s">
        <v>762</v>
      </c>
      <c r="BK466" s="92" t="s">
        <v>20</v>
      </c>
      <c r="BL466" s="93" t="s">
        <v>265</v>
      </c>
    </row>
    <row r="467" spans="1:64" x14ac:dyDescent="0.25">
      <c r="A467"/>
      <c r="BJ467" s="91" t="s">
        <v>362</v>
      </c>
      <c r="BK467" s="92" t="s">
        <v>20</v>
      </c>
      <c r="BL467" s="93" t="s">
        <v>267</v>
      </c>
    </row>
    <row r="468" spans="1:64" x14ac:dyDescent="0.25">
      <c r="A468"/>
      <c r="BJ468" s="91" t="s">
        <v>853</v>
      </c>
      <c r="BK468" s="92" t="s">
        <v>21</v>
      </c>
      <c r="BL468" s="93" t="s">
        <v>267</v>
      </c>
    </row>
    <row r="469" spans="1:64" x14ac:dyDescent="0.25">
      <c r="A469"/>
      <c r="BJ469" s="91" t="s">
        <v>627</v>
      </c>
      <c r="BK469" s="92" t="s">
        <v>21</v>
      </c>
      <c r="BL469" s="93" t="s">
        <v>266</v>
      </c>
    </row>
    <row r="470" spans="1:64" x14ac:dyDescent="0.25">
      <c r="A470"/>
      <c r="BJ470" s="91" t="s">
        <v>530</v>
      </c>
      <c r="BK470" s="92" t="s">
        <v>21</v>
      </c>
      <c r="BL470" s="93" t="s">
        <v>265</v>
      </c>
    </row>
    <row r="471" spans="1:64" x14ac:dyDescent="0.25">
      <c r="A471"/>
      <c r="BJ471" s="91" t="s">
        <v>427</v>
      </c>
      <c r="BK471" s="92" t="s">
        <v>21</v>
      </c>
      <c r="BL471" s="93" t="s">
        <v>264</v>
      </c>
    </row>
    <row r="472" spans="1:64" x14ac:dyDescent="0.25">
      <c r="A472"/>
      <c r="BJ472" s="91" t="s">
        <v>868</v>
      </c>
      <c r="BK472" s="92" t="s">
        <v>263</v>
      </c>
      <c r="BL472" s="93" t="s">
        <v>265</v>
      </c>
    </row>
    <row r="473" spans="1:64" x14ac:dyDescent="0.25">
      <c r="A473"/>
      <c r="BJ473" s="91" t="s">
        <v>862</v>
      </c>
      <c r="BK473" s="92" t="s">
        <v>263</v>
      </c>
      <c r="BL473" s="93" t="s">
        <v>267</v>
      </c>
    </row>
    <row r="474" spans="1:64" x14ac:dyDescent="0.25">
      <c r="A474"/>
      <c r="BJ474" s="91" t="s">
        <v>646</v>
      </c>
      <c r="BK474" s="92" t="s">
        <v>263</v>
      </c>
      <c r="BL474" s="93" t="s">
        <v>267</v>
      </c>
    </row>
    <row r="475" spans="1:64" x14ac:dyDescent="0.25">
      <c r="A475"/>
      <c r="BJ475" s="91" t="s">
        <v>689</v>
      </c>
      <c r="BK475" s="92" t="s">
        <v>263</v>
      </c>
      <c r="BL475" s="93" t="s">
        <v>266</v>
      </c>
    </row>
    <row r="476" spans="1:64" x14ac:dyDescent="0.25">
      <c r="A476"/>
      <c r="BJ476" s="91" t="s">
        <v>514</v>
      </c>
      <c r="BK476" s="92" t="s">
        <v>16</v>
      </c>
      <c r="BL476" s="93" t="s">
        <v>264</v>
      </c>
    </row>
    <row r="477" spans="1:64" x14ac:dyDescent="0.25">
      <c r="A477"/>
      <c r="BJ477" s="91" t="s">
        <v>672</v>
      </c>
      <c r="BK477" s="92" t="s">
        <v>21</v>
      </c>
      <c r="BL477" s="93" t="s">
        <v>265</v>
      </c>
    </row>
    <row r="478" spans="1:64" x14ac:dyDescent="0.25">
      <c r="A478"/>
      <c r="BJ478" s="91" t="s">
        <v>518</v>
      </c>
      <c r="BK478" s="92" t="s">
        <v>263</v>
      </c>
      <c r="BL478" s="93" t="s">
        <v>266</v>
      </c>
    </row>
    <row r="479" spans="1:64" x14ac:dyDescent="0.25">
      <c r="A479"/>
      <c r="BJ479" s="91" t="s">
        <v>842</v>
      </c>
      <c r="BK479" s="92" t="s">
        <v>20</v>
      </c>
      <c r="BL479" s="93" t="s">
        <v>265</v>
      </c>
    </row>
    <row r="480" spans="1:64" x14ac:dyDescent="0.25">
      <c r="A480"/>
      <c r="BJ480" s="91" t="s">
        <v>676</v>
      </c>
      <c r="BK480" s="92" t="s">
        <v>21</v>
      </c>
      <c r="BL480" s="93" t="s">
        <v>265</v>
      </c>
    </row>
    <row r="481" spans="1:64" x14ac:dyDescent="0.25">
      <c r="A481"/>
      <c r="BJ481" s="91" t="s">
        <v>552</v>
      </c>
      <c r="BK481" s="92" t="s">
        <v>20</v>
      </c>
      <c r="BL481" s="93" t="s">
        <v>267</v>
      </c>
    </row>
    <row r="482" spans="1:64" x14ac:dyDescent="0.25">
      <c r="A482"/>
      <c r="BJ482" s="91" t="s">
        <v>553</v>
      </c>
      <c r="BK482" s="92" t="s">
        <v>21</v>
      </c>
      <c r="BL482" s="93" t="s">
        <v>266</v>
      </c>
    </row>
    <row r="483" spans="1:64" x14ac:dyDescent="0.25">
      <c r="A483"/>
      <c r="BJ483" s="91" t="s">
        <v>706</v>
      </c>
      <c r="BK483" s="92" t="s">
        <v>20</v>
      </c>
      <c r="BL483" s="93" t="s">
        <v>267</v>
      </c>
    </row>
    <row r="484" spans="1:64" x14ac:dyDescent="0.25">
      <c r="A484"/>
      <c r="BJ484" s="91" t="s">
        <v>757</v>
      </c>
      <c r="BK484" s="92" t="s">
        <v>21</v>
      </c>
      <c r="BL484" s="93" t="s">
        <v>267</v>
      </c>
    </row>
    <row r="485" spans="1:64" x14ac:dyDescent="0.25">
      <c r="A485"/>
      <c r="BJ485" s="91" t="s">
        <v>366</v>
      </c>
      <c r="BK485" s="92" t="s">
        <v>20</v>
      </c>
      <c r="BL485" s="93" t="s">
        <v>267</v>
      </c>
    </row>
    <row r="486" spans="1:64" x14ac:dyDescent="0.25">
      <c r="A486"/>
      <c r="BJ486" s="91" t="s">
        <v>535</v>
      </c>
      <c r="BK486" s="92" t="s">
        <v>20</v>
      </c>
      <c r="BL486" s="93" t="s">
        <v>266</v>
      </c>
    </row>
    <row r="487" spans="1:64" x14ac:dyDescent="0.25">
      <c r="A487"/>
      <c r="BJ487" s="91" t="s">
        <v>776</v>
      </c>
      <c r="BK487" s="92" t="s">
        <v>16</v>
      </c>
      <c r="BL487" s="93" t="s">
        <v>264</v>
      </c>
    </row>
    <row r="488" spans="1:64" x14ac:dyDescent="0.25">
      <c r="A488"/>
      <c r="BJ488" s="91" t="s">
        <v>491</v>
      </c>
      <c r="BK488" s="92" t="s">
        <v>20</v>
      </c>
      <c r="BL488" s="93" t="s">
        <v>267</v>
      </c>
    </row>
    <row r="489" spans="1:64" x14ac:dyDescent="0.25">
      <c r="A489"/>
      <c r="BJ489" s="91" t="s">
        <v>447</v>
      </c>
      <c r="BK489" s="92" t="s">
        <v>20</v>
      </c>
      <c r="BL489" s="93" t="s">
        <v>264</v>
      </c>
    </row>
    <row r="490" spans="1:64" x14ac:dyDescent="0.25">
      <c r="A490"/>
      <c r="BJ490" s="91" t="s">
        <v>395</v>
      </c>
      <c r="BK490" s="92" t="s">
        <v>21</v>
      </c>
      <c r="BL490" s="93" t="s">
        <v>264</v>
      </c>
    </row>
    <row r="491" spans="1:64" x14ac:dyDescent="0.25">
      <c r="A491"/>
      <c r="BJ491" s="91" t="s">
        <v>423</v>
      </c>
      <c r="BK491" s="92" t="s">
        <v>21</v>
      </c>
      <c r="BL491" s="93" t="s">
        <v>265</v>
      </c>
    </row>
    <row r="492" spans="1:64" x14ac:dyDescent="0.25">
      <c r="A492"/>
      <c r="BJ492" s="91" t="s">
        <v>412</v>
      </c>
      <c r="BK492" s="92" t="s">
        <v>21</v>
      </c>
      <c r="BL492" s="93" t="s">
        <v>266</v>
      </c>
    </row>
    <row r="493" spans="1:64" x14ac:dyDescent="0.25">
      <c r="A493"/>
      <c r="BJ493" s="91" t="s">
        <v>896</v>
      </c>
      <c r="BK493" s="92" t="s">
        <v>263</v>
      </c>
      <c r="BL493" s="93" t="s">
        <v>267</v>
      </c>
    </row>
    <row r="494" spans="1:64" x14ac:dyDescent="0.25">
      <c r="A494"/>
      <c r="BJ494" s="91" t="s">
        <v>572</v>
      </c>
      <c r="BK494" s="92" t="s">
        <v>21</v>
      </c>
      <c r="BL494" s="93" t="s">
        <v>264</v>
      </c>
    </row>
    <row r="495" spans="1:64" x14ac:dyDescent="0.25">
      <c r="A495"/>
      <c r="BJ495" s="91" t="s">
        <v>725</v>
      </c>
      <c r="BK495" s="92" t="s">
        <v>263</v>
      </c>
      <c r="BL495" s="93" t="s">
        <v>266</v>
      </c>
    </row>
    <row r="496" spans="1:64" x14ac:dyDescent="0.25">
      <c r="A496"/>
      <c r="BJ496" s="91" t="s">
        <v>389</v>
      </c>
      <c r="BK496" s="92" t="s">
        <v>21</v>
      </c>
      <c r="BL496" s="93" t="s">
        <v>264</v>
      </c>
    </row>
    <row r="497" spans="1:64" x14ac:dyDescent="0.25">
      <c r="A497"/>
      <c r="BJ497" s="91" t="s">
        <v>773</v>
      </c>
      <c r="BK497" s="92" t="s">
        <v>20</v>
      </c>
      <c r="BL497" s="93" t="s">
        <v>264</v>
      </c>
    </row>
    <row r="498" spans="1:64" x14ac:dyDescent="0.25">
      <c r="A498"/>
      <c r="BJ498" s="91" t="s">
        <v>753</v>
      </c>
      <c r="BK498" s="92" t="s">
        <v>263</v>
      </c>
      <c r="BL498" s="93" t="s">
        <v>266</v>
      </c>
    </row>
    <row r="499" spans="1:64" x14ac:dyDescent="0.25">
      <c r="BJ499" s="91" t="s">
        <v>722</v>
      </c>
      <c r="BK499" s="92" t="s">
        <v>21</v>
      </c>
      <c r="BL499" s="93" t="s">
        <v>267</v>
      </c>
    </row>
    <row r="500" spans="1:64" x14ac:dyDescent="0.25">
      <c r="BJ500" s="91" t="s">
        <v>632</v>
      </c>
      <c r="BK500" s="92" t="s">
        <v>263</v>
      </c>
      <c r="BL500" s="93" t="s">
        <v>264</v>
      </c>
    </row>
    <row r="501" spans="1:64" x14ac:dyDescent="0.25">
      <c r="BJ501" s="91" t="s">
        <v>761</v>
      </c>
      <c r="BK501" s="92" t="s">
        <v>263</v>
      </c>
      <c r="BL501" s="93" t="s">
        <v>265</v>
      </c>
    </row>
    <row r="502" spans="1:64" x14ac:dyDescent="0.25">
      <c r="BJ502" s="91" t="s">
        <v>863</v>
      </c>
      <c r="BK502" s="92" t="s">
        <v>21</v>
      </c>
      <c r="BL502" s="93" t="s">
        <v>266</v>
      </c>
    </row>
    <row r="503" spans="1:64" x14ac:dyDescent="0.25">
      <c r="BJ503" s="91" t="s">
        <v>647</v>
      </c>
      <c r="BK503" s="92" t="s">
        <v>21</v>
      </c>
      <c r="BL503" s="93" t="s">
        <v>265</v>
      </c>
    </row>
    <row r="504" spans="1:64" x14ac:dyDescent="0.25">
      <c r="BJ504" s="91" t="s">
        <v>860</v>
      </c>
      <c r="BK504" s="92" t="s">
        <v>21</v>
      </c>
      <c r="BL504" s="93" t="s">
        <v>267</v>
      </c>
    </row>
    <row r="505" spans="1:64" x14ac:dyDescent="0.25">
      <c r="BJ505" s="91" t="s">
        <v>924</v>
      </c>
      <c r="BK505" s="92" t="s">
        <v>21</v>
      </c>
      <c r="BL505" s="93" t="s">
        <v>265</v>
      </c>
    </row>
    <row r="506" spans="1:64" x14ac:dyDescent="0.25">
      <c r="BJ506" s="91" t="s">
        <v>633</v>
      </c>
      <c r="BK506" s="92" t="s">
        <v>21</v>
      </c>
      <c r="BL506" s="93" t="s">
        <v>266</v>
      </c>
    </row>
    <row r="507" spans="1:64" x14ac:dyDescent="0.25">
      <c r="BJ507" s="91" t="s">
        <v>400</v>
      </c>
      <c r="BK507" s="92" t="s">
        <v>21</v>
      </c>
      <c r="BL507" s="93" t="s">
        <v>265</v>
      </c>
    </row>
    <row r="508" spans="1:64" x14ac:dyDescent="0.25">
      <c r="BJ508" s="91" t="s">
        <v>791</v>
      </c>
      <c r="BK508" s="92" t="s">
        <v>16</v>
      </c>
      <c r="BL508" s="93" t="s">
        <v>264</v>
      </c>
    </row>
    <row r="509" spans="1:64" x14ac:dyDescent="0.25">
      <c r="BJ509" s="91" t="s">
        <v>528</v>
      </c>
      <c r="BK509" s="92" t="s">
        <v>21</v>
      </c>
      <c r="BL509" s="93" t="s">
        <v>265</v>
      </c>
    </row>
    <row r="510" spans="1:64" x14ac:dyDescent="0.25">
      <c r="BJ510" s="91" t="s">
        <v>614</v>
      </c>
      <c r="BK510" s="92" t="s">
        <v>263</v>
      </c>
      <c r="BL510" s="93" t="s">
        <v>265</v>
      </c>
    </row>
    <row r="511" spans="1:64" x14ac:dyDescent="0.25">
      <c r="BJ511" s="91" t="s">
        <v>503</v>
      </c>
      <c r="BK511" s="92" t="s">
        <v>21</v>
      </c>
      <c r="BL511" s="93" t="s">
        <v>266</v>
      </c>
    </row>
    <row r="512" spans="1:64" x14ac:dyDescent="0.25">
      <c r="BJ512" s="91" t="s">
        <v>765</v>
      </c>
      <c r="BK512" s="92" t="s">
        <v>21</v>
      </c>
      <c r="BL512" s="93" t="s">
        <v>266</v>
      </c>
    </row>
    <row r="513" spans="62:64" x14ac:dyDescent="0.25">
      <c r="BJ513" s="91" t="s">
        <v>699</v>
      </c>
      <c r="BK513" s="92" t="s">
        <v>21</v>
      </c>
      <c r="BL513" s="93" t="s">
        <v>266</v>
      </c>
    </row>
    <row r="514" spans="62:64" x14ac:dyDescent="0.25">
      <c r="BJ514" s="91" t="s">
        <v>768</v>
      </c>
      <c r="BK514" s="92" t="s">
        <v>20</v>
      </c>
      <c r="BL514" s="93" t="s">
        <v>267</v>
      </c>
    </row>
    <row r="515" spans="62:64" x14ac:dyDescent="0.25">
      <c r="BJ515" s="91" t="s">
        <v>829</v>
      </c>
      <c r="BK515" s="92" t="s">
        <v>21</v>
      </c>
      <c r="BL515" s="93" t="s">
        <v>265</v>
      </c>
    </row>
    <row r="516" spans="62:64" x14ac:dyDescent="0.25">
      <c r="BJ516" s="91" t="s">
        <v>388</v>
      </c>
      <c r="BK516" s="92" t="s">
        <v>20</v>
      </c>
      <c r="BL516" s="93" t="s">
        <v>265</v>
      </c>
    </row>
    <row r="517" spans="62:64" x14ac:dyDescent="0.25">
      <c r="BJ517" s="91" t="s">
        <v>709</v>
      </c>
      <c r="BK517" s="92" t="s">
        <v>21</v>
      </c>
      <c r="BL517" s="93" t="s">
        <v>265</v>
      </c>
    </row>
    <row r="518" spans="62:64" x14ac:dyDescent="0.25">
      <c r="BJ518" s="91" t="s">
        <v>728</v>
      </c>
      <c r="BK518" s="92" t="s">
        <v>263</v>
      </c>
      <c r="BL518" s="93" t="s">
        <v>266</v>
      </c>
    </row>
    <row r="519" spans="62:64" x14ac:dyDescent="0.25">
      <c r="BJ519" s="91" t="s">
        <v>460</v>
      </c>
      <c r="BK519" s="92" t="s">
        <v>263</v>
      </c>
      <c r="BL519" s="93" t="s">
        <v>267</v>
      </c>
    </row>
    <row r="520" spans="62:64" x14ac:dyDescent="0.25">
      <c r="BJ520" s="91" t="s">
        <v>783</v>
      </c>
      <c r="BK520" s="92" t="s">
        <v>263</v>
      </c>
      <c r="BL520" s="93" t="s">
        <v>264</v>
      </c>
    </row>
    <row r="521" spans="62:64" x14ac:dyDescent="0.25">
      <c r="BJ521" s="91" t="s">
        <v>414</v>
      </c>
      <c r="BK521" s="92" t="s">
        <v>263</v>
      </c>
      <c r="BL521" s="93" t="s">
        <v>266</v>
      </c>
    </row>
    <row r="522" spans="62:64" x14ac:dyDescent="0.25">
      <c r="BJ522" s="91" t="s">
        <v>559</v>
      </c>
      <c r="BK522" s="92" t="s">
        <v>21</v>
      </c>
      <c r="BL522" s="93" t="s">
        <v>267</v>
      </c>
    </row>
    <row r="523" spans="62:64" x14ac:dyDescent="0.25">
      <c r="BJ523" s="91" t="s">
        <v>478</v>
      </c>
      <c r="BK523" s="92" t="s">
        <v>263</v>
      </c>
      <c r="BL523" s="93" t="s">
        <v>266</v>
      </c>
    </row>
    <row r="524" spans="62:64" x14ac:dyDescent="0.25">
      <c r="BJ524" s="91" t="s">
        <v>906</v>
      </c>
      <c r="BK524" s="92" t="s">
        <v>263</v>
      </c>
      <c r="BL524" s="93" t="s">
        <v>265</v>
      </c>
    </row>
    <row r="525" spans="62:64" x14ac:dyDescent="0.25">
      <c r="BJ525" s="91" t="s">
        <v>268</v>
      </c>
      <c r="BK525" s="92" t="s">
        <v>263</v>
      </c>
      <c r="BL525" s="93" t="s">
        <v>264</v>
      </c>
    </row>
    <row r="526" spans="62:64" x14ac:dyDescent="0.25">
      <c r="BJ526" s="91" t="s">
        <v>908</v>
      </c>
      <c r="BK526" s="92" t="s">
        <v>263</v>
      </c>
      <c r="BL526" s="93" t="s">
        <v>266</v>
      </c>
    </row>
    <row r="527" spans="62:64" x14ac:dyDescent="0.25">
      <c r="BJ527" s="91" t="s">
        <v>911</v>
      </c>
      <c r="BK527" s="92" t="s">
        <v>21</v>
      </c>
      <c r="BL527" s="93" t="s">
        <v>264</v>
      </c>
    </row>
    <row r="528" spans="62:64" x14ac:dyDescent="0.25">
      <c r="BJ528" s="91" t="s">
        <v>910</v>
      </c>
      <c r="BK528" s="92" t="s">
        <v>21</v>
      </c>
      <c r="BL528" s="93" t="s">
        <v>267</v>
      </c>
    </row>
    <row r="529" spans="62:64" x14ac:dyDescent="0.25">
      <c r="BJ529" s="91" t="s">
        <v>813</v>
      </c>
      <c r="BK529" s="92" t="s">
        <v>20</v>
      </c>
      <c r="BL529" s="93" t="s">
        <v>265</v>
      </c>
    </row>
    <row r="530" spans="62:64" x14ac:dyDescent="0.25">
      <c r="BJ530" s="91" t="s">
        <v>912</v>
      </c>
      <c r="BK530" s="92" t="s">
        <v>21</v>
      </c>
      <c r="BL530" s="93" t="s">
        <v>266</v>
      </c>
    </row>
    <row r="531" spans="62:64" x14ac:dyDescent="0.25">
      <c r="BJ531" s="91" t="s">
        <v>355</v>
      </c>
      <c r="BK531" s="92" t="s">
        <v>20</v>
      </c>
      <c r="BL531" s="93" t="s">
        <v>267</v>
      </c>
    </row>
    <row r="532" spans="62:64" x14ac:dyDescent="0.25">
      <c r="BJ532" s="91" t="s">
        <v>904</v>
      </c>
      <c r="BK532" s="92" t="s">
        <v>21</v>
      </c>
      <c r="BL532" s="93" t="s">
        <v>265</v>
      </c>
    </row>
    <row r="533" spans="62:64" x14ac:dyDescent="0.25">
      <c r="BJ533" s="91" t="s">
        <v>909</v>
      </c>
      <c r="BK533" s="92" t="s">
        <v>20</v>
      </c>
      <c r="BL533" s="93" t="s">
        <v>266</v>
      </c>
    </row>
    <row r="534" spans="62:64" x14ac:dyDescent="0.25">
      <c r="BJ534" s="91" t="s">
        <v>903</v>
      </c>
      <c r="BK534" s="92" t="s">
        <v>20</v>
      </c>
      <c r="BL534" s="93" t="s">
        <v>264</v>
      </c>
    </row>
    <row r="535" spans="62:64" x14ac:dyDescent="0.25">
      <c r="BJ535" s="91" t="s">
        <v>905</v>
      </c>
      <c r="BK535" s="92" t="s">
        <v>16</v>
      </c>
      <c r="BL535" s="93" t="s">
        <v>265</v>
      </c>
    </row>
    <row r="536" spans="62:64" x14ac:dyDescent="0.25">
      <c r="BJ536" s="91" t="s">
        <v>907</v>
      </c>
      <c r="BK536" s="92" t="s">
        <v>16</v>
      </c>
      <c r="BL536" s="93" t="s">
        <v>264</v>
      </c>
    </row>
    <row r="537" spans="62:64" x14ac:dyDescent="0.25">
      <c r="BJ537" s="91" t="s">
        <v>925</v>
      </c>
      <c r="BK537" s="92" t="s">
        <v>263</v>
      </c>
      <c r="BL537" s="93" t="s">
        <v>266</v>
      </c>
    </row>
    <row r="538" spans="62:64" x14ac:dyDescent="0.25">
      <c r="BJ538" s="91" t="s">
        <v>926</v>
      </c>
      <c r="BK538" s="92" t="s">
        <v>263</v>
      </c>
      <c r="BL538" s="93" t="s">
        <v>267</v>
      </c>
    </row>
    <row r="539" spans="62:64" x14ac:dyDescent="0.25">
      <c r="BJ539" s="91" t="s">
        <v>302</v>
      </c>
      <c r="BK539" s="92" t="s">
        <v>21</v>
      </c>
      <c r="BL539" s="93" t="s">
        <v>264</v>
      </c>
    </row>
    <row r="540" spans="62:64" x14ac:dyDescent="0.25">
      <c r="BJ540" s="91" t="s">
        <v>331</v>
      </c>
      <c r="BK540" s="92" t="s">
        <v>21</v>
      </c>
      <c r="BL540" s="93" t="s">
        <v>264</v>
      </c>
    </row>
    <row r="541" spans="62:64" x14ac:dyDescent="0.25">
      <c r="BJ541" s="91" t="s">
        <v>927</v>
      </c>
      <c r="BK541" s="92" t="s">
        <v>21</v>
      </c>
      <c r="BL541" s="93" t="s">
        <v>265</v>
      </c>
    </row>
    <row r="542" spans="62:64" x14ac:dyDescent="0.25">
      <c r="BJ542" s="91" t="s">
        <v>928</v>
      </c>
      <c r="BK542" s="92" t="s">
        <v>21</v>
      </c>
      <c r="BL542" s="93" t="s">
        <v>267</v>
      </c>
    </row>
    <row r="543" spans="62:64" x14ac:dyDescent="0.25">
      <c r="BJ543" s="91" t="s">
        <v>480</v>
      </c>
      <c r="BK543" s="92" t="s">
        <v>21</v>
      </c>
      <c r="BL543" s="93" t="s">
        <v>265</v>
      </c>
    </row>
    <row r="544" spans="62:64" x14ac:dyDescent="0.25">
      <c r="BJ544" s="91" t="s">
        <v>901</v>
      </c>
      <c r="BK544" s="92" t="s">
        <v>21</v>
      </c>
      <c r="BL544" s="93" t="s">
        <v>265</v>
      </c>
    </row>
    <row r="545" spans="62:64" x14ac:dyDescent="0.25">
      <c r="BJ545" s="91" t="s">
        <v>651</v>
      </c>
      <c r="BK545" s="92" t="s">
        <v>21</v>
      </c>
      <c r="BL545" s="93" t="s">
        <v>267</v>
      </c>
    </row>
    <row r="546" spans="62:64" x14ac:dyDescent="0.25">
      <c r="BJ546" s="91" t="s">
        <v>846</v>
      </c>
      <c r="BK546" s="92" t="s">
        <v>21</v>
      </c>
      <c r="BL546" s="93" t="s">
        <v>264</v>
      </c>
    </row>
    <row r="547" spans="62:64" x14ac:dyDescent="0.25">
      <c r="BJ547" s="91" t="s">
        <v>546</v>
      </c>
      <c r="BK547" s="92" t="s">
        <v>20</v>
      </c>
      <c r="BL547" s="93" t="s">
        <v>265</v>
      </c>
    </row>
    <row r="548" spans="62:64" x14ac:dyDescent="0.25">
      <c r="BJ548" s="91" t="s">
        <v>797</v>
      </c>
      <c r="BK548" s="92" t="s">
        <v>21</v>
      </c>
      <c r="BL548" s="93" t="s">
        <v>264</v>
      </c>
    </row>
    <row r="549" spans="62:64" x14ac:dyDescent="0.25">
      <c r="BJ549" s="91" t="s">
        <v>688</v>
      </c>
      <c r="BK549" s="92" t="s">
        <v>20</v>
      </c>
      <c r="BL549" s="93" t="s">
        <v>264</v>
      </c>
    </row>
    <row r="550" spans="62:64" x14ac:dyDescent="0.25">
      <c r="BJ550" s="91" t="s">
        <v>885</v>
      </c>
      <c r="BK550" s="92" t="s">
        <v>263</v>
      </c>
      <c r="BL550" s="93" t="s">
        <v>267</v>
      </c>
    </row>
    <row r="551" spans="62:64" x14ac:dyDescent="0.25">
      <c r="BJ551" s="91" t="s">
        <v>662</v>
      </c>
      <c r="BK551" s="92" t="s">
        <v>20</v>
      </c>
      <c r="BL551" s="93" t="s">
        <v>264</v>
      </c>
    </row>
    <row r="552" spans="62:64" x14ac:dyDescent="0.25">
      <c r="BJ552" s="91" t="s">
        <v>880</v>
      </c>
      <c r="BK552" s="92" t="s">
        <v>420</v>
      </c>
      <c r="BL552" s="93" t="s">
        <v>266</v>
      </c>
    </row>
    <row r="553" spans="62:64" x14ac:dyDescent="0.25">
      <c r="BJ553" s="91" t="s">
        <v>615</v>
      </c>
      <c r="BK553" s="92" t="s">
        <v>20</v>
      </c>
      <c r="BL553" s="93" t="s">
        <v>264</v>
      </c>
    </row>
    <row r="554" spans="62:64" x14ac:dyDescent="0.25">
      <c r="BJ554" s="91" t="s">
        <v>452</v>
      </c>
      <c r="BK554" s="92" t="s">
        <v>16</v>
      </c>
      <c r="BL554" s="93" t="s">
        <v>266</v>
      </c>
    </row>
    <row r="555" spans="62:64" x14ac:dyDescent="0.25">
      <c r="BJ555" s="91" t="s">
        <v>419</v>
      </c>
      <c r="BK555" s="92" t="s">
        <v>420</v>
      </c>
      <c r="BL555" s="93" t="s">
        <v>264</v>
      </c>
    </row>
    <row r="556" spans="62:64" x14ac:dyDescent="0.25">
      <c r="BJ556" s="91" t="s">
        <v>827</v>
      </c>
      <c r="BK556" s="92" t="s">
        <v>420</v>
      </c>
      <c r="BL556" s="93" t="s">
        <v>266</v>
      </c>
    </row>
    <row r="557" spans="62:64" x14ac:dyDescent="0.25">
      <c r="BJ557" s="91" t="s">
        <v>882</v>
      </c>
      <c r="BK557" s="92" t="s">
        <v>16</v>
      </c>
      <c r="BL557" s="93" t="s">
        <v>266</v>
      </c>
    </row>
    <row r="558" spans="62:64" x14ac:dyDescent="0.25">
      <c r="BJ558" s="91" t="s">
        <v>473</v>
      </c>
      <c r="BK558" s="92" t="s">
        <v>16</v>
      </c>
      <c r="BL558" s="93" t="s">
        <v>264</v>
      </c>
    </row>
    <row r="559" spans="62:64" x14ac:dyDescent="0.25">
      <c r="BJ559" s="91" t="s">
        <v>808</v>
      </c>
      <c r="BK559" s="92" t="s">
        <v>20</v>
      </c>
      <c r="BL559" s="93" t="s">
        <v>264</v>
      </c>
    </row>
    <row r="560" spans="62:64" x14ac:dyDescent="0.25">
      <c r="BJ560" s="91" t="s">
        <v>439</v>
      </c>
      <c r="BK560" s="92" t="s">
        <v>263</v>
      </c>
      <c r="BL560" s="93" t="s">
        <v>267</v>
      </c>
    </row>
    <row r="561" spans="62:64" x14ac:dyDescent="0.25">
      <c r="BJ561" s="91" t="s">
        <v>449</v>
      </c>
      <c r="BK561" s="92" t="s">
        <v>20</v>
      </c>
      <c r="BL561" s="93" t="s">
        <v>265</v>
      </c>
    </row>
    <row r="562" spans="62:64" x14ac:dyDescent="0.25">
      <c r="BJ562" s="91" t="s">
        <v>766</v>
      </c>
      <c r="BK562" s="92" t="s">
        <v>16</v>
      </c>
      <c r="BL562" s="93" t="s">
        <v>265</v>
      </c>
    </row>
    <row r="563" spans="62:64" x14ac:dyDescent="0.25">
      <c r="BJ563" s="91" t="s">
        <v>566</v>
      </c>
      <c r="BK563" s="92" t="s">
        <v>20</v>
      </c>
      <c r="BL563" s="93" t="s">
        <v>266</v>
      </c>
    </row>
    <row r="564" spans="62:64" x14ac:dyDescent="0.25">
      <c r="BJ564" s="91" t="s">
        <v>409</v>
      </c>
      <c r="BK564" s="92" t="s">
        <v>16</v>
      </c>
      <c r="BL564" s="93" t="s">
        <v>266</v>
      </c>
    </row>
    <row r="565" spans="62:64" x14ac:dyDescent="0.25">
      <c r="BJ565" s="91" t="s">
        <v>475</v>
      </c>
      <c r="BK565" s="92" t="s">
        <v>20</v>
      </c>
      <c r="BL565" s="93" t="s">
        <v>265</v>
      </c>
    </row>
    <row r="566" spans="62:64" x14ac:dyDescent="0.25">
      <c r="BJ566" s="91" t="s">
        <v>814</v>
      </c>
      <c r="BK566" s="92" t="s">
        <v>16</v>
      </c>
      <c r="BL566" s="93" t="s">
        <v>264</v>
      </c>
    </row>
    <row r="567" spans="62:64" x14ac:dyDescent="0.25">
      <c r="BJ567" s="91" t="s">
        <v>886</v>
      </c>
      <c r="BK567" s="92" t="s">
        <v>20</v>
      </c>
      <c r="BL567" s="93" t="s">
        <v>264</v>
      </c>
    </row>
    <row r="568" spans="62:64" x14ac:dyDescent="0.25">
      <c r="BJ568" s="91" t="s">
        <v>436</v>
      </c>
      <c r="BK568" s="92" t="s">
        <v>20</v>
      </c>
      <c r="BL568" s="93" t="s">
        <v>265</v>
      </c>
    </row>
    <row r="569" spans="62:64" x14ac:dyDescent="0.25">
      <c r="BJ569" s="91" t="s">
        <v>701</v>
      </c>
      <c r="BK569" s="92" t="s">
        <v>16</v>
      </c>
      <c r="BL569" s="93" t="s">
        <v>265</v>
      </c>
    </row>
    <row r="570" spans="62:64" x14ac:dyDescent="0.25">
      <c r="BJ570" s="91" t="s">
        <v>712</v>
      </c>
      <c r="BK570" s="92" t="s">
        <v>420</v>
      </c>
      <c r="BL570" s="93" t="s">
        <v>266</v>
      </c>
    </row>
    <row r="571" spans="62:64" x14ac:dyDescent="0.25">
      <c r="BJ571" s="91" t="s">
        <v>678</v>
      </c>
      <c r="BK571" s="92" t="s">
        <v>16</v>
      </c>
      <c r="BL571" s="93" t="s">
        <v>265</v>
      </c>
    </row>
    <row r="572" spans="62:64" x14ac:dyDescent="0.25">
      <c r="BJ572" s="91" t="s">
        <v>870</v>
      </c>
      <c r="BK572" s="92" t="s">
        <v>16</v>
      </c>
      <c r="BL572" s="93" t="s">
        <v>265</v>
      </c>
    </row>
    <row r="573" spans="62:64" x14ac:dyDescent="0.25">
      <c r="BJ573" s="91" t="s">
        <v>446</v>
      </c>
      <c r="BK573" s="92" t="s">
        <v>20</v>
      </c>
      <c r="BL573" s="93" t="s">
        <v>264</v>
      </c>
    </row>
    <row r="574" spans="62:64" x14ac:dyDescent="0.25">
      <c r="BJ574" s="91" t="s">
        <v>686</v>
      </c>
      <c r="BK574" s="92" t="s">
        <v>20</v>
      </c>
      <c r="BL574" s="93" t="s">
        <v>266</v>
      </c>
    </row>
    <row r="575" spans="62:64" x14ac:dyDescent="0.25">
      <c r="BJ575" s="91" t="s">
        <v>799</v>
      </c>
      <c r="BK575" s="92" t="s">
        <v>20</v>
      </c>
      <c r="BL575" s="93" t="s">
        <v>264</v>
      </c>
    </row>
    <row r="576" spans="62:64" x14ac:dyDescent="0.25">
      <c r="BJ576" s="91" t="s">
        <v>573</v>
      </c>
      <c r="BK576" s="92" t="s">
        <v>20</v>
      </c>
      <c r="BL576" s="93" t="s">
        <v>265</v>
      </c>
    </row>
    <row r="577" spans="62:64" x14ac:dyDescent="0.25">
      <c r="BJ577" s="91" t="s">
        <v>649</v>
      </c>
      <c r="BK577" s="92" t="s">
        <v>263</v>
      </c>
      <c r="BL577" s="93" t="s">
        <v>266</v>
      </c>
    </row>
    <row r="578" spans="62:64" x14ac:dyDescent="0.25">
      <c r="BJ578" s="91" t="s">
        <v>547</v>
      </c>
      <c r="BK578" s="92" t="s">
        <v>263</v>
      </c>
      <c r="BL578" s="93" t="s">
        <v>264</v>
      </c>
    </row>
    <row r="579" spans="62:64" x14ac:dyDescent="0.25">
      <c r="BJ579" s="91" t="s">
        <v>671</v>
      </c>
      <c r="BK579" s="92" t="s">
        <v>263</v>
      </c>
      <c r="BL579" s="93" t="s">
        <v>265</v>
      </c>
    </row>
    <row r="580" spans="62:64" x14ac:dyDescent="0.25">
      <c r="BJ580" s="91" t="s">
        <v>883</v>
      </c>
      <c r="BK580" s="92" t="s">
        <v>263</v>
      </c>
      <c r="BL580" s="93" t="s">
        <v>264</v>
      </c>
    </row>
    <row r="581" spans="62:64" x14ac:dyDescent="0.25">
      <c r="BJ581" s="91" t="s">
        <v>727</v>
      </c>
      <c r="BK581" s="92" t="s">
        <v>263</v>
      </c>
      <c r="BL581" s="93" t="s">
        <v>265</v>
      </c>
    </row>
    <row r="582" spans="62:64" x14ac:dyDescent="0.25">
      <c r="BJ582" s="91" t="s">
        <v>413</v>
      </c>
      <c r="BK582" s="92" t="s">
        <v>263</v>
      </c>
      <c r="BL582" s="93" t="s">
        <v>265</v>
      </c>
    </row>
    <row r="583" spans="62:64" x14ac:dyDescent="0.25">
      <c r="BJ583" s="91" t="s">
        <v>421</v>
      </c>
      <c r="BK583" s="92" t="s">
        <v>263</v>
      </c>
      <c r="BL583" s="93" t="s">
        <v>264</v>
      </c>
    </row>
    <row r="584" spans="62:64" x14ac:dyDescent="0.25">
      <c r="BJ584" s="91" t="s">
        <v>437</v>
      </c>
      <c r="BK584" s="92" t="s">
        <v>263</v>
      </c>
      <c r="BL584" s="93" t="s">
        <v>266</v>
      </c>
    </row>
    <row r="585" spans="62:64" x14ac:dyDescent="0.25">
      <c r="BJ585" s="91" t="s">
        <v>455</v>
      </c>
      <c r="BK585" s="92" t="s">
        <v>263</v>
      </c>
      <c r="BL585" s="93" t="s">
        <v>264</v>
      </c>
    </row>
    <row r="586" spans="62:64" x14ac:dyDescent="0.25">
      <c r="BJ586" s="91" t="s">
        <v>683</v>
      </c>
      <c r="BK586" s="92" t="s">
        <v>263</v>
      </c>
      <c r="BL586" s="93" t="s">
        <v>265</v>
      </c>
    </row>
  </sheetData>
  <dataConsolidate/>
  <mergeCells count="25">
    <mergeCell ref="AJ3:AN3"/>
    <mergeCell ref="E3:M3"/>
    <mergeCell ref="O3:P3"/>
    <mergeCell ref="BJ1:BL1"/>
    <mergeCell ref="BJ3:BL3"/>
    <mergeCell ref="R3:X3"/>
    <mergeCell ref="Z3:AB3"/>
    <mergeCell ref="AD3:AH3"/>
    <mergeCell ref="AP3:BH3"/>
    <mergeCell ref="BN3:BP3"/>
    <mergeCell ref="BN1:BP1"/>
    <mergeCell ref="BR3:BT3"/>
    <mergeCell ref="BR1:BT1"/>
    <mergeCell ref="F29:F34"/>
    <mergeCell ref="J29:J34"/>
    <mergeCell ref="F21:F26"/>
    <mergeCell ref="J21:J26"/>
    <mergeCell ref="E12:F12"/>
    <mergeCell ref="F13:F18"/>
    <mergeCell ref="J13:J18"/>
    <mergeCell ref="E20:F20"/>
    <mergeCell ref="E28:F28"/>
    <mergeCell ref="F5:F10"/>
    <mergeCell ref="J5:J10"/>
    <mergeCell ref="E4:F4"/>
  </mergeCells>
  <phoneticPr fontId="10" type="noConversion"/>
  <conditionalFormatting sqref="BL6:BL586">
    <cfRule type="containsText" dxfId="21" priority="15" operator="containsText" text="Magic">
      <formula>NOT(ISERROR(SEARCH("Magic",BL6)))</formula>
    </cfRule>
    <cfRule type="containsText" dxfId="20" priority="16" operator="containsText" text="Void">
      <formula>NOT(ISERROR(SEARCH("Void",BL6)))</formula>
    </cfRule>
    <cfRule type="containsText" dxfId="19" priority="17" operator="containsText" text="Spirit">
      <formula>NOT(ISERROR(SEARCH("Spirit",BL6)))</formula>
    </cfRule>
    <cfRule type="containsText" dxfId="18" priority="18" operator="containsText" text="Force">
      <formula>NOT(ISERROR(SEARCH("Force",BL6)))</formula>
    </cfRule>
  </conditionalFormatting>
  <conditionalFormatting sqref="BL5:BL586">
    <cfRule type="containsText" dxfId="17" priority="19" operator="containsText" text="Magic">
      <formula>NOT(ISERROR(SEARCH("Magic",BL5)))</formula>
    </cfRule>
    <cfRule type="containsText" dxfId="16" priority="20" operator="containsText" text="Void">
      <formula>NOT(ISERROR(SEARCH("Void",BL5)))</formula>
    </cfRule>
    <cfRule type="containsText" dxfId="15" priority="21" operator="containsText" text="Spirit">
      <formula>NOT(ISERROR(SEARCH("Spirit",BL5)))</formula>
    </cfRule>
    <cfRule type="containsText" dxfId="14" priority="22" operator="containsText" text="Force">
      <formula>NOT(ISERROR(SEARCH("Force",BL5)))</formula>
    </cfRule>
  </conditionalFormatting>
  <conditionalFormatting sqref="BP4:BP18">
    <cfRule type="containsText" dxfId="13" priority="8" operator="containsText" text="Void">
      <formula>NOT(ISERROR(SEARCH("Void",BP4)))</formula>
    </cfRule>
    <cfRule type="containsText" dxfId="12" priority="9" operator="containsText" text="Spirit">
      <formula>NOT(ISERROR(SEARCH("Spirit",BP4)))</formula>
    </cfRule>
    <cfRule type="containsText" dxfId="11" priority="10" operator="containsText" text="Force">
      <formula>NOT(ISERROR(SEARCH("Force",BP4)))</formula>
    </cfRule>
    <cfRule type="containsText" dxfId="10" priority="11" operator="containsText" text="Magic">
      <formula>NOT(ISERROR(SEARCH("Magic",BP4)))</formula>
    </cfRule>
  </conditionalFormatting>
  <conditionalFormatting sqref="BO4:BO18">
    <cfRule type="containsText" dxfId="9" priority="13" operator="containsText" text="Epic">
      <formula>NOT(ISERROR(SEARCH("Epic",BO4)))</formula>
    </cfRule>
    <cfRule type="containsText" dxfId="8" priority="14" operator="containsText" text="Rare">
      <formula>NOT(ISERROR(SEARCH("Rare",BO4)))</formula>
    </cfRule>
  </conditionalFormatting>
  <conditionalFormatting sqref="BO4:BO18">
    <cfRule type="containsText" dxfId="7" priority="12" operator="containsText" text="Legendary">
      <formula>NOT(ISERROR(SEARCH("Legendary",BO4)))</formula>
    </cfRule>
  </conditionalFormatting>
  <conditionalFormatting sqref="BT4:BT23">
    <cfRule type="containsText" dxfId="6" priority="1" operator="containsText" text="Void">
      <formula>NOT(ISERROR(SEARCH("Void",BT4)))</formula>
    </cfRule>
    <cfRule type="containsText" dxfId="5" priority="2" operator="containsText" text="Spirit">
      <formula>NOT(ISERROR(SEARCH("Spirit",BT4)))</formula>
    </cfRule>
    <cfRule type="containsText" dxfId="4" priority="3" operator="containsText" text="Force">
      <formula>NOT(ISERROR(SEARCH("Force",BT4)))</formula>
    </cfRule>
    <cfRule type="containsText" dxfId="3" priority="4" operator="containsText" text="Magic">
      <formula>NOT(ISERROR(SEARCH("Magic",BT4)))</formula>
    </cfRule>
  </conditionalFormatting>
  <conditionalFormatting sqref="BS4:BS23">
    <cfRule type="containsText" dxfId="2" priority="6" operator="containsText" text="Epic">
      <formula>NOT(ISERROR(SEARCH("Epic",BS4)))</formula>
    </cfRule>
    <cfRule type="containsText" dxfId="1" priority="7" operator="containsText" text="Rare">
      <formula>NOT(ISERROR(SEARCH("Rare",BS4)))</formula>
    </cfRule>
  </conditionalFormatting>
  <conditionalFormatting sqref="BS4:BS23">
    <cfRule type="containsText" dxfId="0" priority="5" operator="containsText" text="Legendary">
      <formula>NOT(ISERROR(SEARCH("Legendary",BS4)))</formula>
    </cfRule>
  </conditionalFormatting>
  <pageMargins left="0.7" right="0.7" top="0.75" bottom="0.75" header="0.3" footer="0.3"/>
  <pageSetup paperSize="9" orientation="portrait" horizontalDpi="0" verticalDpi="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112</vt:i4>
      </vt:variant>
    </vt:vector>
  </HeadingPairs>
  <TitlesOfParts>
    <vt:vector size="113" baseType="lpstr">
      <vt:lpstr>Shard Draw</vt:lpstr>
      <vt:lpstr>Epic_Affinity_Greater</vt:lpstr>
      <vt:lpstr>Epic_Affinity_Lesser</vt:lpstr>
      <vt:lpstr>Epic_Affinity_Superior</vt:lpstr>
      <vt:lpstr>Epic_Arcane_Greater</vt:lpstr>
      <vt:lpstr>Epic_Arcane_Lesser</vt:lpstr>
      <vt:lpstr>Epic_Arcane_Superior</vt:lpstr>
      <vt:lpstr>HF_EC_Abbrev1</vt:lpstr>
      <vt:lpstr>HF_EC_Abbrev2</vt:lpstr>
      <vt:lpstr>HF_EC_Abbrev3</vt:lpstr>
      <vt:lpstr>HF_EC_Abbrev4</vt:lpstr>
      <vt:lpstr>Legend_Affinity_Greater</vt:lpstr>
      <vt:lpstr>Legend_Affinity_Lesser</vt:lpstr>
      <vt:lpstr>Legend_Affinity_Superior</vt:lpstr>
      <vt:lpstr>Legend_Arcane_Greater</vt:lpstr>
      <vt:lpstr>Legend_Arcane_Lesser</vt:lpstr>
      <vt:lpstr>Legend_Arcane_Superior</vt:lpstr>
      <vt:lpstr>Rare_Affinity_Greater</vt:lpstr>
      <vt:lpstr>Rare_Affinity_Lesser</vt:lpstr>
      <vt:lpstr>Rare_Affinity_Superior</vt:lpstr>
      <vt:lpstr>Rare_Arcane_Greater</vt:lpstr>
      <vt:lpstr>Rare_Arcane_Lesser</vt:lpstr>
      <vt:lpstr>Rare_Arcane_Superior</vt:lpstr>
      <vt:lpstr>SD_10x_Affinity</vt:lpstr>
      <vt:lpstr>SD_10x_Champions</vt:lpstr>
      <vt:lpstr>SD_10x_Type</vt:lpstr>
      <vt:lpstr>SD_2x_Ancient</vt:lpstr>
      <vt:lpstr>SD_2x_Sacred</vt:lpstr>
      <vt:lpstr>SD_2x_Void</vt:lpstr>
      <vt:lpstr>SD_All_Exclusions</vt:lpstr>
      <vt:lpstr>SD_All_Exclusions_Affinity</vt:lpstr>
      <vt:lpstr>SD_All_Exclusions_Rarity</vt:lpstr>
      <vt:lpstr>SD_Ancient</vt:lpstr>
      <vt:lpstr>SD_Ancient_Activate_Epic</vt:lpstr>
      <vt:lpstr>SD_Ancient_Activate_Legendary</vt:lpstr>
      <vt:lpstr>SD_Ancient_Count_Since_Epic</vt:lpstr>
      <vt:lpstr>SD_Ancient_Count_Since_Legendary</vt:lpstr>
      <vt:lpstr>SD_Ancient_Epic_Odds</vt:lpstr>
      <vt:lpstr>SD_Ancient_Increase_Epic</vt:lpstr>
      <vt:lpstr>SD_Ancient_Increase_Legendary</vt:lpstr>
      <vt:lpstr>SD_Ancient_Legendary_Odds</vt:lpstr>
      <vt:lpstr>SD_Ancient_Rare_Odds</vt:lpstr>
      <vt:lpstr>SD_Mystery</vt:lpstr>
      <vt:lpstr>SD_Mystery_Rare_Odds</vt:lpstr>
      <vt:lpstr>SD_Sacred</vt:lpstr>
      <vt:lpstr>SD_Sacred_Activate_Legendary</vt:lpstr>
      <vt:lpstr>SD_Sacred_Count_Since_Legendary</vt:lpstr>
      <vt:lpstr>SD_Sacred_Epic_Odds</vt:lpstr>
      <vt:lpstr>SD_Sacred_Exclusions</vt:lpstr>
      <vt:lpstr>SD_Sacred_Exclusions_Affinity</vt:lpstr>
      <vt:lpstr>SD_Sacred_Exclusions_Rarity</vt:lpstr>
      <vt:lpstr>SD_Sacred_Increase_Legendary</vt:lpstr>
      <vt:lpstr>SD_Sacred_Legendary_Odds</vt:lpstr>
      <vt:lpstr>SD_Sacred_Rare_Odds</vt:lpstr>
      <vt:lpstr>SD_Void</vt:lpstr>
      <vt:lpstr>SD_Void_Activate_Epic</vt:lpstr>
      <vt:lpstr>SD_Void_Activate_Legendary</vt:lpstr>
      <vt:lpstr>SD_Void_Count_Since_Epic</vt:lpstr>
      <vt:lpstr>SD_Void_Count_Since_Legendary</vt:lpstr>
      <vt:lpstr>SD_Void_Epic_Odds</vt:lpstr>
      <vt:lpstr>SD_Void_Increase_Epic</vt:lpstr>
      <vt:lpstr>SD_Void_Increase_Legendary</vt:lpstr>
      <vt:lpstr>SD_Void_Legendary_Odds</vt:lpstr>
      <vt:lpstr>SD_Void_Rare_Odds</vt:lpstr>
      <vt:lpstr>SD10x_Champions</vt:lpstr>
      <vt:lpstr>SD10x_Type</vt:lpstr>
      <vt:lpstr>Uncommon_Affinity_Greater</vt:lpstr>
      <vt:lpstr>Uncommon_Affinity_Lesser</vt:lpstr>
      <vt:lpstr>Uncommon_Affinity_Superior</vt:lpstr>
      <vt:lpstr>Uncommon_Arcane_Greater</vt:lpstr>
      <vt:lpstr>Uncommon_Arcane_Lesser</vt:lpstr>
      <vt:lpstr>Uncommon_Arcane_Superior</vt:lpstr>
      <vt:lpstr>V_CF_Ascension_Clear4</vt:lpstr>
      <vt:lpstr>V_CF_Ascension_Clear5</vt:lpstr>
      <vt:lpstr>V_CF_Dropdown_Epic</vt:lpstr>
      <vt:lpstr>V_CF_Dropdown_Rare</vt:lpstr>
      <vt:lpstr>V_DB_Ayumilove</vt:lpstr>
      <vt:lpstr>V_DB_Datamine</vt:lpstr>
      <vt:lpstr>V_DB_HellHadesTierList</vt:lpstr>
      <vt:lpstr>V_DB_MyChampions_Rebuild</vt:lpstr>
      <vt:lpstr>V_DB_RaidExtractor</vt:lpstr>
      <vt:lpstr>V_DB_Thumbnails</vt:lpstr>
      <vt:lpstr>V_Display_FormulaBar</vt:lpstr>
      <vt:lpstr>V_Display_Gridlines</vt:lpstr>
      <vt:lpstr>V_Display_Headings</vt:lpstr>
      <vt:lpstr>V_Display_Ribbon</vt:lpstr>
      <vt:lpstr>V_Display_WorkbookTabs</vt:lpstr>
      <vt:lpstr>V_Energy_Boss</vt:lpstr>
      <vt:lpstr>V_Energy_Map</vt:lpstr>
      <vt:lpstr>V_Energy_Regular</vt:lpstr>
      <vt:lpstr>V_Farming_Level</vt:lpstr>
      <vt:lpstr>V_Lvl10</vt:lpstr>
      <vt:lpstr>V_Lvl20</vt:lpstr>
      <vt:lpstr>V_Lvl30</vt:lpstr>
      <vt:lpstr>V_Lvl40</vt:lpstr>
      <vt:lpstr>V_Lvl50</vt:lpstr>
      <vt:lpstr>V_Lvl60</vt:lpstr>
      <vt:lpstr>V_ProgrammerMode</vt:lpstr>
      <vt:lpstr>V_Silver_Brutal</vt:lpstr>
      <vt:lpstr>V_Silver_Hard</vt:lpstr>
      <vt:lpstr>V_Silver_Nightmare</vt:lpstr>
      <vt:lpstr>V_Silver_Normal</vt:lpstr>
      <vt:lpstr>V_Thumbnails</vt:lpstr>
      <vt:lpstr>V_XP_1Star</vt:lpstr>
      <vt:lpstr>V_XP_2Star</vt:lpstr>
      <vt:lpstr>V_XP_3Star</vt:lpstr>
      <vt:lpstr>V_XP_4Star</vt:lpstr>
      <vt:lpstr>V_XP_5Star</vt:lpstr>
      <vt:lpstr>V_XP_6Star</vt:lpstr>
      <vt:lpstr>V_XP_Brutal</vt:lpstr>
      <vt:lpstr>V_XP_Hard</vt:lpstr>
      <vt:lpstr>V_XP_Nightmare</vt:lpstr>
      <vt:lpstr>V_XP_Normal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Monty</dc:creator>
  <cp:lastModifiedBy>Monty</cp:lastModifiedBy>
  <dcterms:created xsi:type="dcterms:W3CDTF">2021-04-08T04:03:51Z</dcterms:created>
  <dcterms:modified xsi:type="dcterms:W3CDTF">2021-05-01T08:20:16Z</dcterms:modified>
</cp:coreProperties>
</file>